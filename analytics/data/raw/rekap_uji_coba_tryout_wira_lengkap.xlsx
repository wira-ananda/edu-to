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d0c70ff9a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cobaan 1" sheetId="1" r:id="R6d950a3030974ce1"/>
    <x:sheet xmlns:r="http://schemas.openxmlformats.org/officeDocument/2006/relationships" name="Percobaan 2" sheetId="2" r:id="R6ce99cfa47ec4fc9"/>
    <x:sheet xmlns:r="http://schemas.openxmlformats.org/officeDocument/2006/relationships" name="Absensi" sheetId="3" r:id="R067e0407551c428d"/>
    <x:sheet xmlns:r="http://schemas.openxmlformats.org/officeDocument/2006/relationships" name="Kuesioner" sheetId="4" r:id="Re41ea92ed4854fb7"/>
    <x:sheet xmlns:r="http://schemas.openxmlformats.org/officeDocument/2006/relationships" name="Gabungan" sheetId="5" r:id="R537c3c800b804618"/>
    <x:sheet xmlns:r="http://schemas.openxmlformats.org/officeDocument/2006/relationships" name="Black Box" sheetId="6" r:id="R22ed55c62e714f4a"/>
    <x:sheet xmlns:r="http://schemas.openxmlformats.org/officeDocument/2006/relationships" name="Ringkasan Semua" sheetId="7" r:id="Rd2cf2b84b1bb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0C438C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62B63"/>
      </x:patternFill>
    </x:fill>
    <x:fill>
      <x:patternFill patternType="solid">
        <x:fgColor rgb="FFEAF2FB"/>
      </x:patternFill>
    </x:fill>
    <x:fill>
      <x:patternFill patternType="solid">
        <x:fgColor rgb="FF0C438C"/>
      </x:patternFill>
    </x:fill>
    <x:fill>
      <x:patternFill patternType="solid">
        <x:fgColor rgb="FF062B63"/>
      </x:patternFill>
    </x:fill>
    <x:fill>
      <x:patternFill patternType="solid">
        <x:fgColor rgb="FFEAF2FB"/>
      </x:patternFill>
    </x:fill>
    <x:fill>
      <x:patternFill patternType="solid">
        <x:fgColor rgb="FF0C438C"/>
      </x:patternFill>
    </x:fill>
  </x:fills>
  <x:borders count="3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22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4" xfId="0" applyNumberFormat="1" applyFont="1" applyFill="1" applyBorder="1"/>
    <x:xf numFmtId="0" fontId="3" fillId="7" borderId="25" xfId="0" applyNumberFormat="1" applyFont="1" applyFill="1" applyBorder="1"/>
    <x:xf numFmtId="0" fontId="3" fillId="7" borderId="26" xfId="0" applyNumberFormat="1" applyFont="1" applyFill="1" applyBorder="1"/>
    <x:xf numFmtId="0" fontId="3" fillId="7" borderId="24" xfId="0" applyNumberFormat="1" applyFont="1" applyFill="1" applyBorder="1" applyAlignment="1">
      <x:alignment wrapText="1"/>
    </x:xf>
    <x:xf numFmtId="0" fontId="3" fillId="7" borderId="25" xfId="0" applyNumberFormat="1" applyFont="1" applyFill="1" applyBorder="1" applyAlignment="1">
      <x:alignment wrapText="1"/>
    </x:xf>
    <x:xf numFmtId="0" fontId="3" fillId="7" borderId="26" xfId="0" applyNumberFormat="1" applyFont="1" applyFill="1" applyBorder="1" applyAlignment="1">
      <x:alignment wrapText="1"/>
    </x:xf>
    <x:xf numFmtId="0" fontId="3" fillId="7" borderId="24" xfId="0" applyNumberFormat="1" applyFont="1" applyFill="1" applyBorder="1" applyAlignment="1">
      <x:alignment horizontal="center" wrapText="1"/>
    </x:xf>
    <x:xf numFmtId="0" fontId="3" fillId="7" borderId="25" xfId="0" applyNumberFormat="1" applyFont="1" applyFill="1" applyBorder="1" applyAlignment="1">
      <x:alignment horizontal="center" wrapText="1"/>
    </x:xf>
    <x:xf numFmtId="0" fontId="3" fillId="7" borderId="26" xfId="0" applyNumberFormat="1" applyFont="1" applyFill="1" applyBorder="1" applyAlignment="1">
      <x:alignment horizontal="center" wrapText="1"/>
    </x:xf>
    <x:xf numFmtId="0" fontId="3" fillId="7" borderId="24" xfId="0" applyNumberFormat="1" applyFont="1" applyFill="1" applyBorder="1" applyAlignment="1">
      <x:alignment horizontal="center" vertical="center" wrapText="1"/>
    </x:xf>
    <x:xf numFmtId="0" fontId="3" fillId="7" borderId="25" xfId="0" applyNumberFormat="1" applyFont="1" applyFill="1" applyBorder="1" applyAlignment="1">
      <x:alignment horizontal="center" vertical="center" wrapText="1"/>
    </x:xf>
    <x:xf numFmtId="0" fontId="3" fillId="7" borderId="26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xfId="0" applyNumberFormat="1" applyFont="1" applyFill="1" applyBorder="0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0" borderId="33" xfId="0" applyNumberFormat="1" applyFont="1" applyFill="1" applyBorder="1" applyAlignment="1">
      <x:alignment horizontal="center" vertical="center" wrapText="1"/>
    </x:xf>
    <x:xf numFmtId="201" fontId="0" fillId="0" borderId="31" xfId="0" applyNumberFormat="1" applyFont="1" applyFill="1" applyBorder="1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201" fontId="0" fillId="0" borderId="3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47857"/>
      </x:font>
    </x:dxf>
    <x:dxf>
      <x:font>
        <x:b/>
        <x:color rgb="FFDC2626"/>
      </x:font>
    </x:dxf>
    <x:dxf>
      <x:font>
        <x:b/>
        <x:color rgb="FF047857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5e8cf636d4277" /><Relationship Type="http://schemas.openxmlformats.org/officeDocument/2006/relationships/theme" Target="/xl/theme/theme1.xml" Id="Rb33f6b4eafb54ce7" /><Relationship Type="http://schemas.openxmlformats.org/officeDocument/2006/relationships/sharedStrings" Target="/xl/sharedStrings.xml" Id="Re8b229ae14b44a3a" /><Relationship Type="http://schemas.openxmlformats.org/officeDocument/2006/relationships/worksheet" Target="/xl/worksheets/sheet1.xml" Id="R6d950a3030974ce1" /><Relationship Type="http://schemas.openxmlformats.org/officeDocument/2006/relationships/worksheet" Target="/xl/worksheets/sheet2.xml" Id="R6ce99cfa47ec4fc9" /><Relationship Type="http://schemas.openxmlformats.org/officeDocument/2006/relationships/worksheet" Target="/xl/worksheets/sheet3.xml" Id="R067e0407551c428d" /><Relationship Type="http://schemas.openxmlformats.org/officeDocument/2006/relationships/worksheet" Target="/xl/worksheets/sheet4.xml" Id="Re41ea92ed4854fb7" /><Relationship Type="http://schemas.openxmlformats.org/officeDocument/2006/relationships/worksheet" Target="/xl/worksheets/sheet5.xml" Id="R537c3c800b804618" /><Relationship Type="http://schemas.openxmlformats.org/officeDocument/2006/relationships/worksheet" Target="/xl/worksheets/sheet6.xml" Id="R22ed55c62e714f4a" /><Relationship Type="http://schemas.openxmlformats.org/officeDocument/2006/relationships/worksheet" Target="/xl/worksheets/sheet7.xml" Id="Rd2cf2b84b1bb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  <x:col min="7" max="7" width="42" hidden="0" customWidth="1"/>
    <x:col min="9" max="9" width="20" hidden="0" customWidth="1"/>
    <x:col min="10" max="10" width="14" hidden="0" customWidth="1"/>
  </x:cols>
  <x:sheetData>
    <x:row r="1" ht="34" customHeight="1">
      <x:c r="A1" s="5" t="str">
        <x:v>REKAP HASIL TRYOUT — PERCOBAAN #1</x:v>
      </x:c>
      <x:c r="B1" s="5"/>
      <x:c r="C1" s="5"/>
      <x:c r="D1" s="5"/>
      <x:c r="E1" s="5"/>
      <x:c r="F1" s="5"/>
      <x:c r="G1" s="89"/>
      <x:c r="I1" s="27" t="str">
        <x:v>Ringkasan</x:v>
      </x:c>
      <x:c r="J1" s="29" t="str">
        <x:v>Nilai</x:v>
      </x:c>
    </x:row>
    <x:row r="2" ht="32" customHeight="1">
      <x:c r="A2" s="12" t="str">
        <x:v>Sumber: tangkapan layar halaman Hasil Tryout. Sistem menampilkan 35 sesi selesai dengan rata-rata nilai dibulatkan 81.</x:v>
      </x:c>
      <x:c r="B2" s="12"/>
      <x:c r="C2" s="12"/>
      <x:c r="D2" s="12"/>
      <x:c r="E2" s="12"/>
      <x:c r="F2" s="12"/>
      <x:c r="G2" s="12"/>
      <x:c r="I2" s="53" t="str">
        <x:v>Jumlah sesi</x:v>
      </x:c>
      <x:c r="J2" s="55" t="n">
        <x:v>35</x:v>
      </x:c>
    </x:row>
    <x:row r="3">
      <x:c r="I3" s="56" t="str">
        <x:v>Rata-rata nilai</x:v>
      </x:c>
      <x:c r="J3" s="85" t="n">
        <x:f>AVERAGE(C5:C39)</x:f>
        <x:v>80.71428571428571</x:v>
      </x:c>
    </x:row>
    <x:row r="4" ht="34" customHeight="1">
      <x:c r="A4" s="27" t="str">
        <x:v>No</x:v>
      </x:c>
      <x:c r="B4" s="28" t="str">
        <x:v>Nama Siswa</x:v>
      </x:c>
      <x:c r="C4" s="28" t="str">
        <x:v>Nilai</x:v>
      </x:c>
      <x:c r="D4" s="28" t="str">
        <x:v>Benar</x:v>
      </x:c>
      <x:c r="E4" s="28" t="str">
        <x:v>Salah</x:v>
      </x:c>
      <x:c r="F4" s="28" t="str">
        <x:v>Progress</x:v>
      </x:c>
      <x:c r="G4" s="29" t="str">
        <x:v>Catatan</x:v>
      </x:c>
      <x:c r="I4" s="56" t="str">
        <x:v>Rata-rata benar</x:v>
      </x:c>
      <x:c r="J4" s="85" t="n">
        <x:f>AVERAGE(D5:D39)</x:f>
        <x:v>12.114285714285714</x:v>
      </x:c>
    </x:row>
    <x:row r="5">
      <x:c r="A5" s="53" t="n">
        <x:v>1</x:v>
      </x:c>
      <x:c r="B5" s="54" t="str">
        <x:v>muh Azril safaat</x:v>
      </x:c>
      <x:c r="C5" s="79" t="n">
        <x:v>73</x:v>
      </x:c>
      <x:c r="D5" s="79" t="n">
        <x:v>11</x:v>
      </x:c>
      <x:c r="E5" s="79" t="n">
        <x:v>4</x:v>
      </x:c>
      <x:c r="F5" s="79" t="n">
        <x:v>100</x:v>
      </x:c>
      <x:c r="G5" s="55" t="str"/>
      <x:c r="I5" s="59" t="str">
        <x:v>Rata-rata salah</x:v>
      </x:c>
      <x:c r="J5" s="86" t="n">
        <x:f>AVERAGE(E5:E39)</x:f>
        <x:v>2.8857142857142857</x:v>
      </x:c>
    </x:row>
    <x:row r="6">
      <x:c r="A6" s="56" t="n">
        <x:v>2</x:v>
      </x:c>
      <x:c r="B6" s="57" t="str">
        <x:v>muh izzan fachrul</x:v>
      </x:c>
      <x:c r="C6" s="80" t="n">
        <x:v>87</x:v>
      </x:c>
      <x:c r="D6" s="80" t="n">
        <x:v>13</x:v>
      </x:c>
      <x:c r="E6" s="80" t="n">
        <x:v>2</x:v>
      </x:c>
      <x:c r="F6" s="80" t="n">
        <x:v>100</x:v>
      </x:c>
      <x:c r="G6" s="58" t="str"/>
    </x:row>
    <x:row r="7">
      <x:c r="A7" s="56" t="n">
        <x:v>3</x:v>
      </x:c>
      <x:c r="B7" s="57" t="str">
        <x:v>Tayza Dwi Sulestari</x:v>
      </x:c>
      <x:c r="C7" s="80" t="n">
        <x:v>80</x:v>
      </x:c>
      <x:c r="D7" s="80" t="n">
        <x:v>12</x:v>
      </x:c>
      <x:c r="E7" s="80" t="n">
        <x:v>3</x:v>
      </x:c>
      <x:c r="F7" s="80" t="n">
        <x:v>100</x:v>
      </x:c>
      <x:c r="G7" s="58" t="str">
        <x:v>Akun 1 (email iCloud pada tangkapan layar)</x:v>
      </x:c>
    </x:row>
    <x:row r="8">
      <x:c r="A8" s="56" t="n">
        <x:v>4</x:v>
      </x:c>
      <x:c r="B8" s="57" t="str">
        <x:v>annisa aurel clarista</x:v>
      </x:c>
      <x:c r="C8" s="80" t="n">
        <x:v>73</x:v>
      </x:c>
      <x:c r="D8" s="80" t="n">
        <x:v>11</x:v>
      </x:c>
      <x:c r="E8" s="80" t="n">
        <x:v>4</x:v>
      </x:c>
      <x:c r="F8" s="80" t="n">
        <x:v>100</x:v>
      </x:c>
      <x:c r="G8" s="58" t="str"/>
    </x:row>
    <x:row r="9">
      <x:c r="A9" s="56" t="n">
        <x:v>5</x:v>
      </x:c>
      <x:c r="B9" s="57" t="str">
        <x:v>khayla jelita ramadhani</x:v>
      </x:c>
      <x:c r="C9" s="80" t="n">
        <x:v>80</x:v>
      </x:c>
      <x:c r="D9" s="80" t="n">
        <x:v>12</x:v>
      </x:c>
      <x:c r="E9" s="80" t="n">
        <x:v>3</x:v>
      </x:c>
      <x:c r="F9" s="80" t="n">
        <x:v>100</x:v>
      </x:c>
      <x:c r="G9" s="58" t="str"/>
    </x:row>
    <x:row r="10">
      <x:c r="A10" s="56" t="n">
        <x:v>6</x:v>
      </x:c>
      <x:c r="B10" s="57" t="str">
        <x:v>Ibtisam Khumaira</x:v>
      </x:c>
      <x:c r="C10" s="80" t="n">
        <x:v>93</x:v>
      </x:c>
      <x:c r="D10" s="80" t="n">
        <x:v>14</x:v>
      </x:c>
      <x:c r="E10" s="80" t="n">
        <x:v>1</x:v>
      </x:c>
      <x:c r="F10" s="80" t="n">
        <x:v>100</x:v>
      </x:c>
      <x:c r="G10" s="58" t="str"/>
    </x:row>
    <x:row r="11">
      <x:c r="A11" s="56" t="n">
        <x:v>7</x:v>
      </x:c>
      <x:c r="B11" s="57" t="str">
        <x:v>andi tenri zakirah</x:v>
      </x:c>
      <x:c r="C11" s="80" t="n">
        <x:v>73</x:v>
      </x:c>
      <x:c r="D11" s="80" t="n">
        <x:v>11</x:v>
      </x:c>
      <x:c r="E11" s="80" t="n">
        <x:v>4</x:v>
      </x:c>
      <x:c r="F11" s="80" t="n">
        <x:v>100</x:v>
      </x:c>
      <x:c r="G11" s="58" t="str"/>
    </x:row>
    <x:row r="12">
      <x:c r="A12" s="56" t="n">
        <x:v>8</x:v>
      </x:c>
      <x:c r="B12" s="57" t="str">
        <x:v>ainunarsyita</x:v>
      </x:c>
      <x:c r="C12" s="80" t="n">
        <x:v>100</x:v>
      </x:c>
      <x:c r="D12" s="80" t="n">
        <x:v>15</x:v>
      </x:c>
      <x:c r="E12" s="80" t="n">
        <x:v>0</x:v>
      </x:c>
      <x:c r="F12" s="80" t="n">
        <x:v>100</x:v>
      </x:c>
      <x:c r="G12" s="58" t="str"/>
    </x:row>
    <x:row r="13">
      <x:c r="A13" s="56" t="n">
        <x:v>9</x:v>
      </x:c>
      <x:c r="B13" s="57" t="str">
        <x:v>Tayza Dwi Sulestari</x:v>
      </x:c>
      <x:c r="C13" s="80" t="n">
        <x:v>73</x:v>
      </x:c>
      <x:c r="D13" s="80" t="n">
        <x:v>11</x:v>
      </x:c>
      <x:c r="E13" s="80" t="n">
        <x:v>4</x:v>
      </x:c>
      <x:c r="F13" s="80" t="n">
        <x:v>100</x:v>
      </x:c>
      <x:c r="G13" s="58" t="str">
        <x:v>Akun 2 (email Gmail pada tangkapan layar)</x:v>
      </x:c>
    </x:row>
    <x:row r="14">
      <x:c r="A14" s="56" t="n">
        <x:v>10</x:v>
      </x:c>
      <x:c r="B14" s="57" t="str">
        <x:v>SITI IHKTIYATUN SHALEHA</x:v>
      </x:c>
      <x:c r="C14" s="80" t="n">
        <x:v>93</x:v>
      </x:c>
      <x:c r="D14" s="80" t="n">
        <x:v>14</x:v>
      </x:c>
      <x:c r="E14" s="80" t="n">
        <x:v>1</x:v>
      </x:c>
      <x:c r="F14" s="80" t="n">
        <x:v>100</x:v>
      </x:c>
      <x:c r="G14" s="58" t="str"/>
    </x:row>
    <x:row r="15">
      <x:c r="A15" s="56" t="n">
        <x:v>11</x:v>
      </x:c>
      <x:c r="B15" s="57" t="str">
        <x:v>SYIFA AZZAHRA</x:v>
      </x:c>
      <x:c r="C15" s="80" t="n">
        <x:v>87</x:v>
      </x:c>
      <x:c r="D15" s="80" t="n">
        <x:v>13</x:v>
      </x:c>
      <x:c r="E15" s="80" t="n">
        <x:v>2</x:v>
      </x:c>
      <x:c r="F15" s="80" t="n">
        <x:v>100</x:v>
      </x:c>
      <x:c r="G15" s="58" t="str"/>
    </x:row>
    <x:row r="16">
      <x:c r="A16" s="56" t="n">
        <x:v>12</x:v>
      </x:c>
      <x:c r="B16" s="57" t="str">
        <x:v>Jilan Nazihah Bagus</x:v>
      </x:c>
      <x:c r="C16" s="80" t="n">
        <x:v>93</x:v>
      </x:c>
      <x:c r="D16" s="80" t="n">
        <x:v>14</x:v>
      </x:c>
      <x:c r="E16" s="80" t="n">
        <x:v>1</x:v>
      </x:c>
      <x:c r="F16" s="80" t="n">
        <x:v>100</x:v>
      </x:c>
      <x:c r="G16" s="58" t="str"/>
    </x:row>
    <x:row r="17">
      <x:c r="A17" s="56" t="n">
        <x:v>13</x:v>
      </x:c>
      <x:c r="B17" s="57" t="str">
        <x:v>Andyanta Baskoro m</x:v>
      </x:c>
      <x:c r="C17" s="80" t="n">
        <x:v>80</x:v>
      </x:c>
      <x:c r="D17" s="80" t="n">
        <x:v>12</x:v>
      </x:c>
      <x:c r="E17" s="80" t="n">
        <x:v>3</x:v>
      </x:c>
      <x:c r="F17" s="80" t="n">
        <x:v>100</x:v>
      </x:c>
      <x:c r="G17" s="58" t="str"/>
    </x:row>
    <x:row r="18">
      <x:c r="A18" s="56" t="n">
        <x:v>14</x:v>
      </x:c>
      <x:c r="B18" s="57" t="str">
        <x:v>Nur Aqillah</x:v>
      </x:c>
      <x:c r="C18" s="80" t="n">
        <x:v>73</x:v>
      </x:c>
      <x:c r="D18" s="80" t="n">
        <x:v>11</x:v>
      </x:c>
      <x:c r="E18" s="80" t="n">
        <x:v>4</x:v>
      </x:c>
      <x:c r="F18" s="80" t="n">
        <x:v>100</x:v>
      </x:c>
      <x:c r="G18" s="58" t="str"/>
    </x:row>
    <x:row r="19">
      <x:c r="A19" s="56" t="n">
        <x:v>15</x:v>
      </x:c>
      <x:c r="B19" s="57" t="str">
        <x:v>Muh alfarel Juliansyah Husmar</x:v>
      </x:c>
      <x:c r="C19" s="80" t="n">
        <x:v>87</x:v>
      </x:c>
      <x:c r="D19" s="80" t="n">
        <x:v>13</x:v>
      </x:c>
      <x:c r="E19" s="80" t="n">
        <x:v>2</x:v>
      </x:c>
      <x:c r="F19" s="80" t="n">
        <x:v>100</x:v>
      </x:c>
      <x:c r="G19" s="58" t="str"/>
    </x:row>
    <x:row r="20">
      <x:c r="A20" s="56" t="n">
        <x:v>16</x:v>
      </x:c>
      <x:c r="B20" s="57" t="str">
        <x:v>Andi Salsabila Putri</x:v>
      </x:c>
      <x:c r="C20" s="80" t="n">
        <x:v>80</x:v>
      </x:c>
      <x:c r="D20" s="80" t="n">
        <x:v>12</x:v>
      </x:c>
      <x:c r="E20" s="80" t="n">
        <x:v>3</x:v>
      </x:c>
      <x:c r="F20" s="80" t="n">
        <x:v>100</x:v>
      </x:c>
      <x:c r="G20" s="58" t="str"/>
    </x:row>
    <x:row r="21">
      <x:c r="A21" s="56" t="n">
        <x:v>17</x:v>
      </x:c>
      <x:c r="B21" s="57" t="str">
        <x:v>Ahmad Farras Zhifran Hukdar</x:v>
      </x:c>
      <x:c r="C21" s="80" t="n">
        <x:v>87</x:v>
      </x:c>
      <x:c r="D21" s="80" t="n">
        <x:v>13</x:v>
      </x:c>
      <x:c r="E21" s="80" t="n">
        <x:v>2</x:v>
      </x:c>
      <x:c r="F21" s="80" t="n">
        <x:v>100</x:v>
      </x:c>
      <x:c r="G21" s="58" t="str"/>
    </x:row>
    <x:row r="22">
      <x:c r="A22" s="56" t="n">
        <x:v>18</x:v>
      </x:c>
      <x:c r="B22" s="57" t="str">
        <x:v>Al Mirah Khaerani</x:v>
      </x:c>
      <x:c r="C22" s="80" t="n">
        <x:v>87</x:v>
      </x:c>
      <x:c r="D22" s="80" t="n">
        <x:v>13</x:v>
      </x:c>
      <x:c r="E22" s="80" t="n">
        <x:v>2</x:v>
      </x:c>
      <x:c r="F22" s="80" t="n">
        <x:v>100</x:v>
      </x:c>
      <x:c r="G22" s="58" t="str"/>
    </x:row>
    <x:row r="23">
      <x:c r="A23" s="56" t="n">
        <x:v>19</x:v>
      </x:c>
      <x:c r="B23" s="57" t="str">
        <x:v>Sitti Marwah</x:v>
      </x:c>
      <x:c r="C23" s="80" t="n">
        <x:v>80</x:v>
      </x:c>
      <x:c r="D23" s="80" t="n">
        <x:v>12</x:v>
      </x:c>
      <x:c r="E23" s="80" t="n">
        <x:v>3</x:v>
      </x:c>
      <x:c r="F23" s="80" t="n">
        <x:v>100</x:v>
      </x:c>
      <x:c r="G23" s="58" t="str"/>
    </x:row>
    <x:row r="24">
      <x:c r="A24" s="56" t="n">
        <x:v>20</x:v>
      </x:c>
      <x:c r="B24" s="57" t="str">
        <x:v>Inayah Nafisah Putri</x:v>
      </x:c>
      <x:c r="C24" s="80" t="n">
        <x:v>87</x:v>
      </x:c>
      <x:c r="D24" s="80" t="n">
        <x:v>13</x:v>
      </x:c>
      <x:c r="E24" s="80" t="n">
        <x:v>2</x:v>
      </x:c>
      <x:c r="F24" s="80" t="n">
        <x:v>100</x:v>
      </x:c>
      <x:c r="G24" s="58" t="str"/>
    </x:row>
    <x:row r="25">
      <x:c r="A25" s="56" t="n">
        <x:v>21</x:v>
      </x:c>
      <x:c r="B25" s="57" t="str">
        <x:v>muh.fadli</x:v>
      </x:c>
      <x:c r="C25" s="80" t="n">
        <x:v>67</x:v>
      </x:c>
      <x:c r="D25" s="80" t="n">
        <x:v>10</x:v>
      </x:c>
      <x:c r="E25" s="80" t="n">
        <x:v>5</x:v>
      </x:c>
      <x:c r="F25" s="80" t="n">
        <x:v>100</x:v>
      </x:c>
      <x:c r="G25" s="58" t="str"/>
    </x:row>
    <x:row r="26">
      <x:c r="A26" s="56" t="n">
        <x:v>22</x:v>
      </x:c>
      <x:c r="B26" s="57" t="str">
        <x:v>Muh Nurhadi B</x:v>
      </x:c>
      <x:c r="C26" s="80" t="n">
        <x:v>73</x:v>
      </x:c>
      <x:c r="D26" s="80" t="n">
        <x:v>11</x:v>
      </x:c>
      <x:c r="E26" s="80" t="n">
        <x:v>4</x:v>
      </x:c>
      <x:c r="F26" s="80" t="n">
        <x:v>100</x:v>
      </x:c>
      <x:c r="G26" s="58" t="str"/>
    </x:row>
    <x:row r="27">
      <x:c r="A27" s="56" t="n">
        <x:v>23</x:v>
      </x:c>
      <x:c r="B27" s="57" t="str">
        <x:v>Fatihah Amalia</x:v>
      </x:c>
      <x:c r="C27" s="80" t="n">
        <x:v>73</x:v>
      </x:c>
      <x:c r="D27" s="80" t="n">
        <x:v>11</x:v>
      </x:c>
      <x:c r="E27" s="80" t="n">
        <x:v>4</x:v>
      </x:c>
      <x:c r="F27" s="80" t="n">
        <x:v>100</x:v>
      </x:c>
      <x:c r="G27" s="58" t="str"/>
    </x:row>
    <x:row r="28">
      <x:c r="A28" s="56" t="n">
        <x:v>24</x:v>
      </x:c>
      <x:c r="B28" s="57" t="str">
        <x:v>MUH. Rifki Ramadhan</x:v>
      </x:c>
      <x:c r="C28" s="80" t="n">
        <x:v>87</x:v>
      </x:c>
      <x:c r="D28" s="80" t="n">
        <x:v>13</x:v>
      </x:c>
      <x:c r="E28" s="80" t="n">
        <x:v>2</x:v>
      </x:c>
      <x:c r="F28" s="80" t="n">
        <x:v>100</x:v>
      </x:c>
      <x:c r="G28" s="58" t="str"/>
    </x:row>
    <x:row r="29">
      <x:c r="A29" s="56" t="n">
        <x:v>25</x:v>
      </x:c>
      <x:c r="B29" s="57" t="str">
        <x:v>Nur Azizah Cinta Queenita Titian</x:v>
      </x:c>
      <x:c r="C29" s="80" t="n">
        <x:v>93</x:v>
      </x:c>
      <x:c r="D29" s="80" t="n">
        <x:v>14</x:v>
      </x:c>
      <x:c r="E29" s="80" t="n">
        <x:v>1</x:v>
      </x:c>
      <x:c r="F29" s="80" t="n">
        <x:v>100</x:v>
      </x:c>
      <x:c r="G29" s="58" t="str"/>
    </x:row>
    <x:row r="30">
      <x:c r="A30" s="56" t="n">
        <x:v>26</x:v>
      </x:c>
      <x:c r="B30" s="57" t="str">
        <x:v>Izzatul Afifah Zahra T.</x:v>
      </x:c>
      <x:c r="C30" s="80" t="n">
        <x:v>87</x:v>
      </x:c>
      <x:c r="D30" s="80" t="n">
        <x:v>13</x:v>
      </x:c>
      <x:c r="E30" s="80" t="n">
        <x:v>2</x:v>
      </x:c>
      <x:c r="F30" s="80" t="n">
        <x:v>100</x:v>
      </x:c>
      <x:c r="G30" s="58" t="str"/>
    </x:row>
    <x:row r="31">
      <x:c r="A31" s="56" t="n">
        <x:v>27</x:v>
      </x:c>
      <x:c r="B31" s="57" t="str">
        <x:v>muh.multazam</x:v>
      </x:c>
      <x:c r="C31" s="80" t="n">
        <x:v>60</x:v>
      </x:c>
      <x:c r="D31" s="80" t="n">
        <x:v>9</x:v>
      </x:c>
      <x:c r="E31" s="80" t="n">
        <x:v>6</x:v>
      </x:c>
      <x:c r="F31" s="80" t="n">
        <x:v>100</x:v>
      </x:c>
      <x:c r="G31" s="58" t="str"/>
    </x:row>
    <x:row r="32">
      <x:c r="A32" s="56" t="n">
        <x:v>28</x:v>
      </x:c>
      <x:c r="B32" s="57" t="str">
        <x:v>SALSABILA NURFAKHIRA</x:v>
      </x:c>
      <x:c r="C32" s="80" t="n">
        <x:v>93</x:v>
      </x:c>
      <x:c r="D32" s="80" t="n">
        <x:v>14</x:v>
      </x:c>
      <x:c r="E32" s="80" t="n">
        <x:v>1</x:v>
      </x:c>
      <x:c r="F32" s="80" t="n">
        <x:v>100</x:v>
      </x:c>
      <x:c r="G32" s="58" t="str"/>
    </x:row>
    <x:row r="33">
      <x:c r="A33" s="56" t="n">
        <x:v>29</x:v>
      </x:c>
      <x:c r="B33" s="57" t="str">
        <x:v>MUH. FAHRI RAMADHAN</x:v>
      </x:c>
      <x:c r="C33" s="80" t="n">
        <x:v>73</x:v>
      </x:c>
      <x:c r="D33" s="80" t="n">
        <x:v>11</x:v>
      </x:c>
      <x:c r="E33" s="80" t="n">
        <x:v>4</x:v>
      </x:c>
      <x:c r="F33" s="80" t="n">
        <x:v>100</x:v>
      </x:c>
      <x:c r="G33" s="58" t="str"/>
    </x:row>
    <x:row r="34">
      <x:c r="A34" s="56" t="n">
        <x:v>30</x:v>
      </x:c>
      <x:c r="B34" s="57" t="str">
        <x:v>Arfiqul A'laa</x:v>
      </x:c>
      <x:c r="C34" s="80" t="n">
        <x:v>100</x:v>
      </x:c>
      <x:c r="D34" s="80" t="n">
        <x:v>15</x:v>
      </x:c>
      <x:c r="E34" s="80" t="n">
        <x:v>0</x:v>
      </x:c>
      <x:c r="F34" s="80" t="n">
        <x:v>100</x:v>
      </x:c>
      <x:c r="G34" s="58" t="str"/>
    </x:row>
    <x:row r="35">
      <x:c r="A35" s="56" t="n">
        <x:v>31</x:v>
      </x:c>
      <x:c r="B35" s="57" t="str">
        <x:v>ahmad hussein rauf</x:v>
      </x:c>
      <x:c r="C35" s="80" t="n">
        <x:v>60</x:v>
      </x:c>
      <x:c r="D35" s="80" t="n">
        <x:v>9</x:v>
      </x:c>
      <x:c r="E35" s="80" t="n">
        <x:v>6</x:v>
      </x:c>
      <x:c r="F35" s="80" t="n">
        <x:v>100</x:v>
      </x:c>
      <x:c r="G35" s="58" t="str"/>
    </x:row>
    <x:row r="36">
      <x:c r="A36" s="56" t="n">
        <x:v>32</x:v>
      </x:c>
      <x:c r="B36" s="57" t="str">
        <x:v>Muhammad Haerul</x:v>
      </x:c>
      <x:c r="C36" s="80" t="n">
        <x:v>40</x:v>
      </x:c>
      <x:c r="D36" s="80" t="n">
        <x:v>6</x:v>
      </x:c>
      <x:c r="E36" s="80" t="n">
        <x:v>9</x:v>
      </x:c>
      <x:c r="F36" s="80" t="n">
        <x:v>100</x:v>
      </x:c>
      <x:c r="G36" s="58" t="str"/>
    </x:row>
    <x:row r="37">
      <x:c r="A37" s="56" t="n">
        <x:v>33</x:v>
      </x:c>
      <x:c r="B37" s="57" t="str">
        <x:v>Trinur Alfisyahri</x:v>
      </x:c>
      <x:c r="C37" s="80" t="n">
        <x:v>93</x:v>
      </x:c>
      <x:c r="D37" s="80" t="n">
        <x:v>14</x:v>
      </x:c>
      <x:c r="E37" s="80" t="n">
        <x:v>1</x:v>
      </x:c>
      <x:c r="F37" s="80" t="n">
        <x:v>100</x:v>
      </x:c>
      <x:c r="G37" s="58" t="str"/>
    </x:row>
    <x:row r="38">
      <x:c r="A38" s="56" t="n">
        <x:v>34</x:v>
      </x:c>
      <x:c r="B38" s="57" t="str">
        <x:v>Siti Nurfadillah</x:v>
      </x:c>
      <x:c r="C38" s="80" t="n">
        <x:v>80</x:v>
      </x:c>
      <x:c r="D38" s="80" t="n">
        <x:v>12</x:v>
      </x:c>
      <x:c r="E38" s="80" t="n">
        <x:v>3</x:v>
      </x:c>
      <x:c r="F38" s="80" t="n">
        <x:v>100</x:v>
      </x:c>
      <x:c r="G38" s="58" t="str"/>
    </x:row>
    <x:row r="39">
      <x:c r="A39" s="59" t="n">
        <x:v>35</x:v>
      </x:c>
      <x:c r="B39" s="60" t="str">
        <x:v>Chiquita Aurelia Wiral</x:v>
      </x:c>
      <x:c r="C39" s="81" t="n">
        <x:v>80</x:v>
      </x:c>
      <x:c r="D39" s="81" t="n">
        <x:v>12</x:v>
      </x:c>
      <x:c r="E39" s="81" t="n">
        <x:v>3</x:v>
      </x:c>
      <x:c r="F39" s="81" t="n">
        <x:v>100</x:v>
      </x:c>
      <x:c r="G39" s="61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  <x:col min="7" max="7" width="38" hidden="0" customWidth="1"/>
    <x:col min="9" max="9" width="20" hidden="0" customWidth="1"/>
    <x:col min="10" max="10" width="14" hidden="0" customWidth="1"/>
  </x:cols>
  <x:sheetData>
    <x:row r="1" ht="34" customHeight="1">
      <x:c r="A1" s="5" t="str">
        <x:v>REKAP HASIL TRYOUT — PERCOBAAN #2</x:v>
      </x:c>
      <x:c r="B1" s="5"/>
      <x:c r="C1" s="5"/>
      <x:c r="D1" s="5"/>
      <x:c r="E1" s="5"/>
      <x:c r="F1" s="5"/>
      <x:c r="G1" s="5"/>
      <x:c r="I1" s="27" t="str">
        <x:v>Ringkasan</x:v>
      </x:c>
      <x:c r="J1" s="29" t="str">
        <x:v>Nilai</x:v>
      </x:c>
    </x:row>
    <x:row r="2" ht="32" customHeight="1">
      <x:c r="A2" s="12" t="str">
        <x:v>Sumber: tangkapan layar halaman Hasil Tryout. Sistem menampilkan 32 sesi selesai dengan rata-rata nilai dibulatkan 83.</x:v>
      </x:c>
      <x:c r="B2" s="12"/>
      <x:c r="C2" s="12"/>
      <x:c r="D2" s="12"/>
      <x:c r="E2" s="12"/>
      <x:c r="F2" s="12"/>
      <x:c r="G2" s="12"/>
      <x:c r="I2" s="53" t="str">
        <x:v>Jumlah sesi</x:v>
      </x:c>
      <x:c r="J2" s="55" t="n">
        <x:v>32</x:v>
      </x:c>
    </x:row>
    <x:row r="3">
      <x:c r="I3" s="56" t="str">
        <x:v>Rata-rata nilai</x:v>
      </x:c>
      <x:c r="J3" s="85" t="n">
        <x:f>AVERAGE(C5:C36)</x:f>
        <x:v>83.25</x:v>
      </x:c>
    </x:row>
    <x:row r="4" ht="34" customHeight="1">
      <x:c r="A4" s="27" t="str">
        <x:v>No</x:v>
      </x:c>
      <x:c r="B4" s="28" t="str">
        <x:v>Nama Siswa</x:v>
      </x:c>
      <x:c r="C4" s="28" t="str">
        <x:v>Nilai</x:v>
      </x:c>
      <x:c r="D4" s="28" t="str">
        <x:v>Benar</x:v>
      </x:c>
      <x:c r="E4" s="28" t="str">
        <x:v>Salah</x:v>
      </x:c>
      <x:c r="F4" s="28" t="str">
        <x:v>Progress</x:v>
      </x:c>
      <x:c r="G4" s="29" t="str">
        <x:v>Catatan</x:v>
      </x:c>
      <x:c r="I4" s="56" t="str">
        <x:v>Rata-rata benar</x:v>
      </x:c>
      <x:c r="J4" s="85" t="n">
        <x:f>AVERAGE(D5:D36)</x:f>
        <x:v>12.5</x:v>
      </x:c>
    </x:row>
    <x:row r="5">
      <x:c r="A5" s="53" t="n">
        <x:v>1</x:v>
      </x:c>
      <x:c r="B5" s="54" t="str">
        <x:v>muh Azril safaat</x:v>
      </x:c>
      <x:c r="C5" s="79" t="n">
        <x:v>53</x:v>
      </x:c>
      <x:c r="D5" s="79" t="n">
        <x:v>8</x:v>
      </x:c>
      <x:c r="E5" s="79" t="n">
        <x:v>7</x:v>
      </x:c>
      <x:c r="F5" s="79" t="n">
        <x:v>100</x:v>
      </x:c>
      <x:c r="G5" s="55" t="str"/>
      <x:c r="I5" s="59" t="str">
        <x:v>Rata-rata salah</x:v>
      </x:c>
      <x:c r="J5" s="86" t="n">
        <x:f>AVERAGE(E5:E36)</x:f>
        <x:v>2.5</x:v>
      </x:c>
    </x:row>
    <x:row r="6">
      <x:c r="A6" s="56" t="n">
        <x:v>2</x:v>
      </x:c>
      <x:c r="B6" s="57" t="str">
        <x:v>muh izzan fachrul</x:v>
      </x:c>
      <x:c r="C6" s="80" t="n">
        <x:v>73</x:v>
      </x:c>
      <x:c r="D6" s="80" t="n">
        <x:v>11</x:v>
      </x:c>
      <x:c r="E6" s="80" t="n">
        <x:v>4</x:v>
      </x:c>
      <x:c r="F6" s="80" t="n">
        <x:v>100</x:v>
      </x:c>
      <x:c r="G6" s="58" t="str"/>
    </x:row>
    <x:row r="7">
      <x:c r="A7" s="56" t="n">
        <x:v>3</x:v>
      </x:c>
      <x:c r="B7" s="57" t="str">
        <x:v>Inayah Nafisah Putri</x:v>
      </x:c>
      <x:c r="C7" s="80" t="n">
        <x:v>87</x:v>
      </x:c>
      <x:c r="D7" s="80" t="n">
        <x:v>13</x:v>
      </x:c>
      <x:c r="E7" s="80" t="n">
        <x:v>2</x:v>
      </x:c>
      <x:c r="F7" s="80" t="n">
        <x:v>100</x:v>
      </x:c>
      <x:c r="G7" s="58" t="str"/>
    </x:row>
    <x:row r="8">
      <x:c r="A8" s="56" t="n">
        <x:v>4</x:v>
      </x:c>
      <x:c r="B8" s="57" t="str">
        <x:v>Fatihah Amalia</x:v>
      </x:c>
      <x:c r="C8" s="80" t="n">
        <x:v>80</x:v>
      </x:c>
      <x:c r="D8" s="80" t="n">
        <x:v>12</x:v>
      </x:c>
      <x:c r="E8" s="80" t="n">
        <x:v>3</x:v>
      </x:c>
      <x:c r="F8" s="80" t="n">
        <x:v>100</x:v>
      </x:c>
      <x:c r="G8" s="58" t="str"/>
    </x:row>
    <x:row r="9">
      <x:c r="A9" s="56" t="n">
        <x:v>5</x:v>
      </x:c>
      <x:c r="B9" s="57" t="str">
        <x:v>annisa aurel clarista</x:v>
      </x:c>
      <x:c r="C9" s="80" t="n">
        <x:v>40</x:v>
      </x:c>
      <x:c r="D9" s="80" t="n">
        <x:v>6</x:v>
      </x:c>
      <x:c r="E9" s="80" t="n">
        <x:v>9</x:v>
      </x:c>
      <x:c r="F9" s="80" t="n">
        <x:v>100</x:v>
      </x:c>
      <x:c r="G9" s="58" t="str"/>
    </x:row>
    <x:row r="10">
      <x:c r="A10" s="56" t="n">
        <x:v>6</x:v>
      </x:c>
      <x:c r="B10" s="57" t="str">
        <x:v>Muhammad Haerul</x:v>
      </x:c>
      <x:c r="C10" s="80" t="n">
        <x:v>73</x:v>
      </x:c>
      <x:c r="D10" s="80" t="n">
        <x:v>11</x:v>
      </x:c>
      <x:c r="E10" s="80" t="n">
        <x:v>4</x:v>
      </x:c>
      <x:c r="F10" s="80" t="n">
        <x:v>100</x:v>
      </x:c>
      <x:c r="G10" s="58" t="str"/>
    </x:row>
    <x:row r="11">
      <x:c r="A11" s="56" t="n">
        <x:v>7</x:v>
      </x:c>
      <x:c r="B11" s="57" t="str">
        <x:v>Nur Aqillah</x:v>
      </x:c>
      <x:c r="C11" s="80" t="n">
        <x:v>80</x:v>
      </x:c>
      <x:c r="D11" s="80" t="n">
        <x:v>12</x:v>
      </x:c>
      <x:c r="E11" s="80" t="n">
        <x:v>3</x:v>
      </x:c>
      <x:c r="F11" s="80" t="n">
        <x:v>100</x:v>
      </x:c>
      <x:c r="G11" s="58" t="str"/>
    </x:row>
    <x:row r="12">
      <x:c r="A12" s="56" t="n">
        <x:v>8</x:v>
      </x:c>
      <x:c r="B12" s="57" t="str">
        <x:v>andi tenri zakirah</x:v>
      </x:c>
      <x:c r="C12" s="80" t="n">
        <x:v>93</x:v>
      </x:c>
      <x:c r="D12" s="80" t="n">
        <x:v>14</x:v>
      </x:c>
      <x:c r="E12" s="80" t="n">
        <x:v>1</x:v>
      </x:c>
      <x:c r="F12" s="80" t="n">
        <x:v>100</x:v>
      </x:c>
      <x:c r="G12" s="58" t="str"/>
    </x:row>
    <x:row r="13">
      <x:c r="A13" s="56" t="n">
        <x:v>9</x:v>
      </x:c>
      <x:c r="B13" s="57" t="str">
        <x:v>khayla jelita ramadhani</x:v>
      </x:c>
      <x:c r="C13" s="80" t="n">
        <x:v>87</x:v>
      </x:c>
      <x:c r="D13" s="80" t="n">
        <x:v>13</x:v>
      </x:c>
      <x:c r="E13" s="80" t="n">
        <x:v>2</x:v>
      </x:c>
      <x:c r="F13" s="80" t="n">
        <x:v>100</x:v>
      </x:c>
      <x:c r="G13" s="58" t="str"/>
    </x:row>
    <x:row r="14">
      <x:c r="A14" s="56" t="n">
        <x:v>10</x:v>
      </x:c>
      <x:c r="B14" s="57" t="str">
        <x:v>Ibtisam Khumaira</x:v>
      </x:c>
      <x:c r="C14" s="80" t="n">
        <x:v>73</x:v>
      </x:c>
      <x:c r="D14" s="80" t="n">
        <x:v>11</x:v>
      </x:c>
      <x:c r="E14" s="80" t="n">
        <x:v>4</x:v>
      </x:c>
      <x:c r="F14" s="80" t="n">
        <x:v>100</x:v>
      </x:c>
      <x:c r="G14" s="58" t="str"/>
    </x:row>
    <x:row r="15">
      <x:c r="A15" s="56" t="n">
        <x:v>11</x:v>
      </x:c>
      <x:c r="B15" s="57" t="str">
        <x:v>Siti Nurfadillah</x:v>
      </x:c>
      <x:c r="C15" s="80" t="n">
        <x:v>87</x:v>
      </x:c>
      <x:c r="D15" s="80" t="n">
        <x:v>13</x:v>
      </x:c>
      <x:c r="E15" s="80" t="n">
        <x:v>2</x:v>
      </x:c>
      <x:c r="F15" s="80" t="n">
        <x:v>100</x:v>
      </x:c>
      <x:c r="G15" s="58" t="str"/>
    </x:row>
    <x:row r="16">
      <x:c r="A16" s="56" t="n">
        <x:v>12</x:v>
      </x:c>
      <x:c r="B16" s="57" t="str">
        <x:v>Andyanta Baskoro m</x:v>
      </x:c>
      <x:c r="C16" s="80" t="n">
        <x:v>87</x:v>
      </x:c>
      <x:c r="D16" s="80" t="n">
        <x:v>13</x:v>
      </x:c>
      <x:c r="E16" s="80" t="n">
        <x:v>2</x:v>
      </x:c>
      <x:c r="F16" s="80" t="n">
        <x:v>100</x:v>
      </x:c>
      <x:c r="G16" s="58" t="str"/>
    </x:row>
    <x:row r="17">
      <x:c r="A17" s="56" t="n">
        <x:v>13</x:v>
      </x:c>
      <x:c r="B17" s="57" t="str">
        <x:v>Andi Salsabila Putri</x:v>
      </x:c>
      <x:c r="C17" s="80" t="n">
        <x:v>93</x:v>
      </x:c>
      <x:c r="D17" s="80" t="n">
        <x:v>14</x:v>
      </x:c>
      <x:c r="E17" s="80" t="n">
        <x:v>1</x:v>
      </x:c>
      <x:c r="F17" s="80" t="n">
        <x:v>100</x:v>
      </x:c>
      <x:c r="G17" s="58" t="str"/>
    </x:row>
    <x:row r="18">
      <x:c r="A18" s="56" t="n">
        <x:v>14</x:v>
      </x:c>
      <x:c r="B18" s="57" t="str">
        <x:v>Jilan Nazihah Bagus</x:v>
      </x:c>
      <x:c r="C18" s="80" t="n">
        <x:v>93</x:v>
      </x:c>
      <x:c r="D18" s="80" t="n">
        <x:v>14</x:v>
      </x:c>
      <x:c r="E18" s="80" t="n">
        <x:v>1</x:v>
      </x:c>
      <x:c r="F18" s="80" t="n">
        <x:v>100</x:v>
      </x:c>
      <x:c r="G18" s="58" t="str"/>
    </x:row>
    <x:row r="19">
      <x:c r="A19" s="56" t="n">
        <x:v>15</x:v>
      </x:c>
      <x:c r="B19" s="57" t="str">
        <x:v>Izzatul Afifah Zahra T.</x:v>
      </x:c>
      <x:c r="C19" s="80" t="n">
        <x:v>100</x:v>
      </x:c>
      <x:c r="D19" s="80" t="n">
        <x:v>15</x:v>
      </x:c>
      <x:c r="E19" s="80" t="n">
        <x:v>0</x:v>
      </x:c>
      <x:c r="F19" s="80" t="n">
        <x:v>100</x:v>
      </x:c>
      <x:c r="G19" s="58" t="str"/>
    </x:row>
    <x:row r="20">
      <x:c r="A20" s="56" t="n">
        <x:v>16</x:v>
      </x:c>
      <x:c r="B20" s="57" t="str">
        <x:v>Muh alfarel Juliansyah Husmar</x:v>
      </x:c>
      <x:c r="C20" s="80" t="n">
        <x:v>93</x:v>
      </x:c>
      <x:c r="D20" s="80" t="n">
        <x:v>14</x:v>
      </x:c>
      <x:c r="E20" s="80" t="n">
        <x:v>1</x:v>
      </x:c>
      <x:c r="F20" s="80" t="n">
        <x:v>100</x:v>
      </x:c>
      <x:c r="G20" s="58" t="str"/>
    </x:row>
    <x:row r="21">
      <x:c r="A21" s="56" t="n">
        <x:v>17</x:v>
      </x:c>
      <x:c r="B21" s="57" t="str">
        <x:v>SALSABILA NURFAKHIRA</x:v>
      </x:c>
      <x:c r="C21" s="80" t="n">
        <x:v>100</x:v>
      </x:c>
      <x:c r="D21" s="80" t="n">
        <x:v>15</x:v>
      </x:c>
      <x:c r="E21" s="80" t="n">
        <x:v>0</x:v>
      </x:c>
      <x:c r="F21" s="80" t="n">
        <x:v>100</x:v>
      </x:c>
      <x:c r="G21" s="58" t="str"/>
    </x:row>
    <x:row r="22">
      <x:c r="A22" s="56" t="n">
        <x:v>18</x:v>
      </x:c>
      <x:c r="B22" s="57" t="str">
        <x:v>Chiquita Aurelia Wiral</x:v>
      </x:c>
      <x:c r="C22" s="80" t="n">
        <x:v>93</x:v>
      </x:c>
      <x:c r="D22" s="80" t="n">
        <x:v>14</x:v>
      </x:c>
      <x:c r="E22" s="80" t="n">
        <x:v>1</x:v>
      </x:c>
      <x:c r="F22" s="80" t="n">
        <x:v>100</x:v>
      </x:c>
      <x:c r="G22" s="58" t="str"/>
    </x:row>
    <x:row r="23">
      <x:c r="A23" s="56" t="n">
        <x:v>19</x:v>
      </x:c>
      <x:c r="B23" s="57" t="str">
        <x:v>Al Mirah Khaerani</x:v>
      </x:c>
      <x:c r="C23" s="80" t="n">
        <x:v>93</x:v>
      </x:c>
      <x:c r="D23" s="80" t="n">
        <x:v>14</x:v>
      </x:c>
      <x:c r="E23" s="80" t="n">
        <x:v>1</x:v>
      </x:c>
      <x:c r="F23" s="80" t="n">
        <x:v>100</x:v>
      </x:c>
      <x:c r="G23" s="58" t="str"/>
    </x:row>
    <x:row r="24">
      <x:c r="A24" s="56" t="n">
        <x:v>20</x:v>
      </x:c>
      <x:c r="B24" s="57" t="str">
        <x:v>Arfiqul A'laa</x:v>
      </x:c>
      <x:c r="C24" s="80" t="n">
        <x:v>100</x:v>
      </x:c>
      <x:c r="D24" s="80" t="n">
        <x:v>15</x:v>
      </x:c>
      <x:c r="E24" s="80" t="n">
        <x:v>0</x:v>
      </x:c>
      <x:c r="F24" s="80" t="n">
        <x:v>100</x:v>
      </x:c>
      <x:c r="G24" s="58" t="str"/>
    </x:row>
    <x:row r="25">
      <x:c r="A25" s="56" t="n">
        <x:v>21</x:v>
      </x:c>
      <x:c r="B25" s="57" t="str">
        <x:v>SITI IHKTIYATUN SHALEHA</x:v>
      </x:c>
      <x:c r="C25" s="80" t="n">
        <x:v>93</x:v>
      </x:c>
      <x:c r="D25" s="80" t="n">
        <x:v>14</x:v>
      </x:c>
      <x:c r="E25" s="80" t="n">
        <x:v>1</x:v>
      </x:c>
      <x:c r="F25" s="80" t="n">
        <x:v>100</x:v>
      </x:c>
      <x:c r="G25" s="58" t="str"/>
    </x:row>
    <x:row r="26">
      <x:c r="A26" s="56" t="n">
        <x:v>22</x:v>
      </x:c>
      <x:c r="B26" s="57" t="str">
        <x:v>Ahmad Farras Zhifran Hukdar</x:v>
      </x:c>
      <x:c r="C26" s="80" t="n">
        <x:v>33</x:v>
      </x:c>
      <x:c r="D26" s="80" t="n">
        <x:v>5</x:v>
      </x:c>
      <x:c r="E26" s="80" t="n">
        <x:v>10</x:v>
      </x:c>
      <x:c r="F26" s="80" t="n">
        <x:v>100</x:v>
      </x:c>
      <x:c r="G26" s="58" t="str"/>
    </x:row>
    <x:row r="27">
      <x:c r="A27" s="56" t="n">
        <x:v>23</x:v>
      </x:c>
      <x:c r="B27" s="57" t="str">
        <x:v>SYIFA AZZAHRA</x:v>
      </x:c>
      <x:c r="C27" s="80" t="n">
        <x:v>100</x:v>
      </x:c>
      <x:c r="D27" s="80" t="n">
        <x:v>15</x:v>
      </x:c>
      <x:c r="E27" s="80" t="n">
        <x:v>0</x:v>
      </x:c>
      <x:c r="F27" s="80" t="n">
        <x:v>100</x:v>
      </x:c>
      <x:c r="G27" s="58" t="str"/>
    </x:row>
    <x:row r="28">
      <x:c r="A28" s="56" t="n">
        <x:v>24</x:v>
      </x:c>
      <x:c r="B28" s="57" t="str">
        <x:v>muh.multazam</x:v>
      </x:c>
      <x:c r="C28" s="80" t="n">
        <x:v>80</x:v>
      </x:c>
      <x:c r="D28" s="80" t="n">
        <x:v>12</x:v>
      </x:c>
      <x:c r="E28" s="80" t="n">
        <x:v>3</x:v>
      </x:c>
      <x:c r="F28" s="80" t="n">
        <x:v>100</x:v>
      </x:c>
      <x:c r="G28" s="58" t="str"/>
    </x:row>
    <x:row r="29">
      <x:c r="A29" s="56" t="n">
        <x:v>25</x:v>
      </x:c>
      <x:c r="B29" s="57" t="str">
        <x:v>ahmad hussein rauf</x:v>
      </x:c>
      <x:c r="C29" s="80" t="n">
        <x:v>80</x:v>
      </x:c>
      <x:c r="D29" s="80" t="n">
        <x:v>12</x:v>
      </x:c>
      <x:c r="E29" s="80" t="n">
        <x:v>3</x:v>
      </x:c>
      <x:c r="F29" s="80" t="n">
        <x:v>100</x:v>
      </x:c>
      <x:c r="G29" s="58" t="str"/>
    </x:row>
    <x:row r="30">
      <x:c r="A30" s="56" t="n">
        <x:v>26</x:v>
      </x:c>
      <x:c r="B30" s="57" t="str">
        <x:v>Sitti Marwah</x:v>
      </x:c>
      <x:c r="C30" s="80" t="n">
        <x:v>67</x:v>
      </x:c>
      <x:c r="D30" s="80" t="n">
        <x:v>10</x:v>
      </x:c>
      <x:c r="E30" s="80" t="n">
        <x:v>5</x:v>
      </x:c>
      <x:c r="F30" s="80" t="n">
        <x:v>100</x:v>
      </x:c>
      <x:c r="G30" s="58" t="str"/>
    </x:row>
    <x:row r="31">
      <x:c r="A31" s="56" t="n">
        <x:v>27</x:v>
      </x:c>
      <x:c r="B31" s="57" t="str">
        <x:v>MUH. FAHRI RAMADHAN</x:v>
      </x:c>
      <x:c r="C31" s="80" t="n">
        <x:v>67</x:v>
      </x:c>
      <x:c r="D31" s="80" t="n">
        <x:v>10</x:v>
      </x:c>
      <x:c r="E31" s="80" t="n">
        <x:v>5</x:v>
      </x:c>
      <x:c r="F31" s="80" t="n">
        <x:v>100</x:v>
      </x:c>
      <x:c r="G31" s="58" t="str"/>
    </x:row>
    <x:row r="32">
      <x:c r="A32" s="56" t="n">
        <x:v>28</x:v>
      </x:c>
      <x:c r="B32" s="57" t="str">
        <x:v>MUH. Rifki Ramadhan</x:v>
      </x:c>
      <x:c r="C32" s="80" t="n">
        <x:v>93</x:v>
      </x:c>
      <x:c r="D32" s="80" t="n">
        <x:v>14</x:v>
      </x:c>
      <x:c r="E32" s="80" t="n">
        <x:v>1</x:v>
      </x:c>
      <x:c r="F32" s="80" t="n">
        <x:v>100</x:v>
      </x:c>
      <x:c r="G32" s="58" t="str"/>
    </x:row>
    <x:row r="33">
      <x:c r="A33" s="56" t="n">
        <x:v>29</x:v>
      </x:c>
      <x:c r="B33" s="57" t="str">
        <x:v>Nur Azizah Cinta Queenita Titian</x:v>
      </x:c>
      <x:c r="C33" s="80" t="n">
        <x:v>93</x:v>
      </x:c>
      <x:c r="D33" s="80" t="n">
        <x:v>14</x:v>
      </x:c>
      <x:c r="E33" s="80" t="n">
        <x:v>1</x:v>
      </x:c>
      <x:c r="F33" s="80" t="n">
        <x:v>100</x:v>
      </x:c>
      <x:c r="G33" s="58" t="str"/>
    </x:row>
    <x:row r="34">
      <x:c r="A34" s="56" t="n">
        <x:v>30</x:v>
      </x:c>
      <x:c r="B34" s="57" t="str">
        <x:v>ainunarsyita</x:v>
      </x:c>
      <x:c r="C34" s="80" t="n">
        <x:v>100</x:v>
      </x:c>
      <x:c r="D34" s="80" t="n">
        <x:v>15</x:v>
      </x:c>
      <x:c r="E34" s="80" t="n">
        <x:v>0</x:v>
      </x:c>
      <x:c r="F34" s="80" t="n">
        <x:v>100</x:v>
      </x:c>
      <x:c r="G34" s="58" t="str"/>
    </x:row>
    <x:row r="35">
      <x:c r="A35" s="56" t="n">
        <x:v>31</x:v>
      </x:c>
      <x:c r="B35" s="57" t="str">
        <x:v>Trinur Alfisyahri</x:v>
      </x:c>
      <x:c r="C35" s="80" t="n">
        <x:v>100</x:v>
      </x:c>
      <x:c r="D35" s="80" t="n">
        <x:v>15</x:v>
      </x:c>
      <x:c r="E35" s="80" t="n">
        <x:v>0</x:v>
      </x:c>
      <x:c r="F35" s="80" t="n">
        <x:v>100</x:v>
      </x:c>
      <x:c r="G35" s="58" t="str"/>
    </x:row>
    <x:row r="36">
      <x:c r="A36" s="59" t="n">
        <x:v>32</x:v>
      </x:c>
      <x:c r="B36" s="60" t="str">
        <x:v>Muh Nurhadi B</x:v>
      </x:c>
      <x:c r="C36" s="81" t="n">
        <x:v>80</x:v>
      </x:c>
      <x:c r="D36" s="81" t="n">
        <x:v>12</x:v>
      </x:c>
      <x:c r="E36" s="81" t="n">
        <x:v>3</x:v>
      </x:c>
      <x:c r="F36" s="81" t="n">
        <x:v>100</x:v>
      </x:c>
      <x:c r="G36" s="61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2" hidden="0" customWidth="1"/>
    <x:col min="4" max="4" width="35" hidden="0" customWidth="1"/>
    <x:col min="6" max="6" width="18" hidden="0" customWidth="1"/>
    <x:col min="7" max="7" width="18" hidden="0" customWidth="1"/>
  </x:cols>
  <x:sheetData>
    <x:row r="1" ht="34" customHeight="1">
      <x:c r="A1" s="5" t="str">
        <x:v>REKAP DAFTAR HADIR UJI COBA APLIKASI TRYOUT</x:v>
      </x:c>
      <x:c r="B1" s="5"/>
      <x:c r="C1" s="5"/>
      <x:c r="D1" s="5"/>
      <x:c r="F1" s="27" t="str">
        <x:v>Ringkasan</x:v>
      </x:c>
      <x:c r="G1" s="29" t="str">
        <x:v>Nilai</x:v>
      </x:c>
    </x:row>
    <x:row r="2" ht="32" customHeight="1">
      <x:c r="A2" s="12" t="str">
        <x:v>Sumber: dua lembar daftar hadir tanggal Rabu, 29 Juli 2026 di SMAN 1 Gowa. Terbaca 34 nama dengan tanda tangan; nomor 35–36 pada lembar kedua kosong.</x:v>
      </x:c>
      <x:c r="B2" s="12"/>
      <x:c r="C2" s="12"/>
      <x:c r="D2" s="12"/>
      <x:c r="F2" s="53" t="str">
        <x:v>Nama terbaca</x:v>
      </x:c>
      <x:c r="G2" s="55" t="n">
        <x:v>34</x:v>
      </x:c>
    </x:row>
    <x:row r="3">
      <x:c r="F3" s="56" t="str">
        <x:v>Status</x:v>
      </x:c>
      <x:c r="G3" s="58" t="str">
        <x:v>Hadir</x:v>
      </x:c>
    </x:row>
    <x:row r="4" ht="34" customHeight="1">
      <x:c r="A4" s="27" t="str">
        <x:v>No</x:v>
      </x:c>
      <x:c r="B4" s="28" t="str">
        <x:v>Nama Siswa</x:v>
      </x:c>
      <x:c r="C4" s="28" t="str">
        <x:v>Status</x:v>
      </x:c>
      <x:c r="D4" s="29" t="str">
        <x:v>Catatan</x:v>
      </x:c>
      <x:c r="F4" s="59" t="str">
        <x:v>Tanggal</x:v>
      </x:c>
      <x:c r="G4" s="61" t="str">
        <x:v>29 Juli 2026</x:v>
      </x:c>
    </x:row>
    <x:row r="5">
      <x:c r="A5" s="91" t="n">
        <x:v>1</x:v>
      </x:c>
      <x:c r="B5" s="54" t="str">
        <x:v>Nur Aqillah</x:v>
      </x:c>
      <x:c r="C5" s="79" t="str">
        <x:v>Hadir</x:v>
      </x:c>
      <x:c r="D5" s="55" t="str"/>
    </x:row>
    <x:row r="6">
      <x:c r="A6" s="92" t="n">
        <x:v>2</x:v>
      </x:c>
      <x:c r="B6" s="57" t="str">
        <x:v>Andi Tenri Zakirah</x:v>
      </x:c>
      <x:c r="C6" s="80" t="str">
        <x:v>Hadir</x:v>
      </x:c>
      <x:c r="D6" s="58" t="str"/>
    </x:row>
    <x:row r="7">
      <x:c r="A7" s="92" t="n">
        <x:v>3</x:v>
      </x:c>
      <x:c r="B7" s="57" t="str">
        <x:v>Arfiqul A'laa</x:v>
      </x:c>
      <x:c r="C7" s="80" t="str">
        <x:v>Hadir</x:v>
      </x:c>
      <x:c r="D7" s="58" t="str"/>
    </x:row>
    <x:row r="8">
      <x:c r="A8" s="92" t="n">
        <x:v>4</x:v>
      </x:c>
      <x:c r="B8" s="57" t="str">
        <x:v>Muh Nurhadi B</x:v>
      </x:c>
      <x:c r="C8" s="80" t="str">
        <x:v>Hadir</x:v>
      </x:c>
      <x:c r="D8" s="58" t="str"/>
    </x:row>
    <x:row r="9">
      <x:c r="A9" s="92" t="n">
        <x:v>5</x:v>
      </x:c>
      <x:c r="B9" s="57" t="str">
        <x:v>Ibtisam Khumaira</x:v>
      </x:c>
      <x:c r="C9" s="80" t="str">
        <x:v>Hadir</x:v>
      </x:c>
      <x:c r="D9" s="58" t="str"/>
    </x:row>
    <x:row r="10">
      <x:c r="A10" s="92" t="n">
        <x:v>6</x:v>
      </x:c>
      <x:c r="B10" s="57" t="str">
        <x:v>Andi Salsabila Putri</x:v>
      </x:c>
      <x:c r="C10" s="80" t="str">
        <x:v>Hadir</x:v>
      </x:c>
      <x:c r="D10" s="58" t="str"/>
    </x:row>
    <x:row r="11">
      <x:c r="A11" s="92" t="n">
        <x:v>7</x:v>
      </x:c>
      <x:c r="B11" s="57" t="str">
        <x:v>Muh. Fahri Ramadhan</x:v>
      </x:c>
      <x:c r="C11" s="80" t="str">
        <x:v>Hadir</x:v>
      </x:c>
      <x:c r="D11" s="58" t="str"/>
    </x:row>
    <x:row r="12">
      <x:c r="A12" s="92" t="n">
        <x:v>8</x:v>
      </x:c>
      <x:c r="B12" s="57" t="str">
        <x:v>MUH. Rifki Ramadhan</x:v>
      </x:c>
      <x:c r="C12" s="80" t="str">
        <x:v>Hadir</x:v>
      </x:c>
      <x:c r="D12" s="58" t="str"/>
    </x:row>
    <x:row r="13">
      <x:c r="A13" s="92" t="n">
        <x:v>9</x:v>
      </x:c>
      <x:c r="B13" s="57" t="str">
        <x:v>Muhammad Haerul</x:v>
      </x:c>
      <x:c r="C13" s="80" t="str">
        <x:v>Hadir</x:v>
      </x:c>
      <x:c r="D13" s="58" t="str"/>
    </x:row>
    <x:row r="14">
      <x:c r="A14" s="92" t="n">
        <x:v>10</x:v>
      </x:c>
      <x:c r="B14" s="57" t="str">
        <x:v>Trinur Alfisyahri</x:v>
      </x:c>
      <x:c r="C14" s="80" t="str">
        <x:v>Hadir</x:v>
      </x:c>
      <x:c r="D14" s="58" t="str"/>
    </x:row>
    <x:row r="15">
      <x:c r="A15" s="92" t="n">
        <x:v>11</x:v>
      </x:c>
      <x:c r="B15" s="57" t="str">
        <x:v>Andyanta Baskoro M</x:v>
      </x:c>
      <x:c r="C15" s="80" t="str">
        <x:v>Hadir</x:v>
      </x:c>
      <x:c r="D15" s="58" t="str"/>
    </x:row>
    <x:row r="16">
      <x:c r="A16" s="92" t="n">
        <x:v>12</x:v>
      </x:c>
      <x:c r="B16" s="57" t="str">
        <x:v>Al Mirah Khaerani</x:v>
      </x:c>
      <x:c r="C16" s="80" t="str">
        <x:v>Hadir</x:v>
      </x:c>
      <x:c r="D16" s="58" t="str"/>
    </x:row>
    <x:row r="17">
      <x:c r="A17" s="92" t="n">
        <x:v>13</x:v>
      </x:c>
      <x:c r="B17" s="57" t="str">
        <x:v>Salsabila Nurfakhira</x:v>
      </x:c>
      <x:c r="C17" s="80" t="str">
        <x:v>Hadir</x:v>
      </x:c>
      <x:c r="D17" s="58" t="str"/>
    </x:row>
    <x:row r="18">
      <x:c r="A18" s="92" t="n">
        <x:v>14</x:v>
      </x:c>
      <x:c r="B18" s="57" t="str">
        <x:v>Nur Azizah Cinta Queenita Titian</x:v>
      </x:c>
      <x:c r="C18" s="80" t="str">
        <x:v>Hadir</x:v>
      </x:c>
      <x:c r="D18" s="58" t="str"/>
    </x:row>
    <x:row r="19">
      <x:c r="A19" s="92" t="n">
        <x:v>15</x:v>
      </x:c>
      <x:c r="B19" s="57" t="str">
        <x:v>Syifa Azzahra</x:v>
      </x:c>
      <x:c r="C19" s="80" t="str">
        <x:v>Hadir</x:v>
      </x:c>
      <x:c r="D19" s="58" t="str"/>
    </x:row>
    <x:row r="20">
      <x:c r="A20" s="92" t="n">
        <x:v>16</x:v>
      </x:c>
      <x:c r="B20" s="57" t="str">
        <x:v>Izzatul Afifah Zahra T.</x:v>
      </x:c>
      <x:c r="C20" s="80" t="str">
        <x:v>Hadir</x:v>
      </x:c>
      <x:c r="D20" s="58" t="str"/>
    </x:row>
    <x:row r="21">
      <x:c r="A21" s="92" t="n">
        <x:v>17</x:v>
      </x:c>
      <x:c r="B21" s="57" t="str">
        <x:v>Jilan Nazihah Bagus</x:v>
      </x:c>
      <x:c r="C21" s="80" t="str">
        <x:v>Hadir</x:v>
      </x:c>
      <x:c r="D21" s="58" t="str"/>
    </x:row>
    <x:row r="22">
      <x:c r="A22" s="92" t="n">
        <x:v>18</x:v>
      </x:c>
      <x:c r="B22" s="57" t="str">
        <x:v>Inayah Nafisah Putri</x:v>
      </x:c>
      <x:c r="C22" s="80" t="str">
        <x:v>Hadir</x:v>
      </x:c>
      <x:c r="D22" s="58" t="str"/>
    </x:row>
    <x:row r="23">
      <x:c r="A23" s="92" t="n">
        <x:v>19</x:v>
      </x:c>
      <x:c r="B23" s="57" t="str">
        <x:v>Fatihah Amalia</x:v>
      </x:c>
      <x:c r="C23" s="80" t="str">
        <x:v>Hadir</x:v>
      </x:c>
      <x:c r="D23" s="58" t="str"/>
    </x:row>
    <x:row r="24">
      <x:c r="A24" s="92" t="n">
        <x:v>20</x:v>
      </x:c>
      <x:c r="B24" s="57" t="str">
        <x:v>Chiquita Aurelia Wiral</x:v>
      </x:c>
      <x:c r="C24" s="80" t="str">
        <x:v>Hadir</x:v>
      </x:c>
      <x:c r="D24" s="58" t="str"/>
    </x:row>
    <x:row r="25">
      <x:c r="A25" s="92" t="n">
        <x:v>21</x:v>
      </x:c>
      <x:c r="B25" s="57" t="str">
        <x:v>Muh Azril Safaat</x:v>
      </x:c>
      <x:c r="C25" s="80" t="str">
        <x:v>Hadir</x:v>
      </x:c>
      <x:c r="D25" s="58" t="str"/>
    </x:row>
    <x:row r="26">
      <x:c r="A26" s="92" t="n">
        <x:v>22</x:v>
      </x:c>
      <x:c r="B26" s="57" t="str">
        <x:v>Ahmad Hussein Rauf</x:v>
      </x:c>
      <x:c r="C26" s="80" t="str">
        <x:v>Hadir</x:v>
      </x:c>
      <x:c r="D26" s="58" t="str"/>
    </x:row>
    <x:row r="27">
      <x:c r="A27" s="92" t="n">
        <x:v>23</x:v>
      </x:c>
      <x:c r="B27" s="57" t="str">
        <x:v>Muh Alfarel Juliansyah Husmar</x:v>
      </x:c>
      <x:c r="C27" s="80" t="str">
        <x:v>Hadir</x:v>
      </x:c>
      <x:c r="D27" s="58" t="str"/>
    </x:row>
    <x:row r="28">
      <x:c r="A28" s="92" t="n">
        <x:v>24</x:v>
      </x:c>
      <x:c r="B28" s="57" t="str">
        <x:v>Tayza Dwi Sulestari</x:v>
      </x:c>
      <x:c r="C28" s="80" t="str">
        <x:v>Hadir</x:v>
      </x:c>
      <x:c r="D28" s="58" t="str"/>
    </x:row>
    <x:row r="29">
      <x:c r="A29" s="92" t="n">
        <x:v>25</x:v>
      </x:c>
      <x:c r="B29" s="57" t="str">
        <x:v>Muh Multazam</x:v>
      </x:c>
      <x:c r="C29" s="80" t="str">
        <x:v>Hadir</x:v>
      </x:c>
      <x:c r="D29" s="58" t="str"/>
    </x:row>
    <x:row r="30">
      <x:c r="A30" s="92" t="n">
        <x:v>26</x:v>
      </x:c>
      <x:c r="B30" s="57" t="str">
        <x:v>Muh. Fadli</x:v>
      </x:c>
      <x:c r="C30" s="80" t="str">
        <x:v>Hadir</x:v>
      </x:c>
      <x:c r="D30" s="58" t="str"/>
    </x:row>
    <x:row r="31">
      <x:c r="A31" s="92" t="n">
        <x:v>27</x:v>
      </x:c>
      <x:c r="B31" s="57" t="str">
        <x:v>Siti Marwah</x:v>
      </x:c>
      <x:c r="C31" s="80" t="str">
        <x:v>Hadir</x:v>
      </x:c>
      <x:c r="D31" s="58" t="str"/>
    </x:row>
    <x:row r="32">
      <x:c r="A32" s="92" t="n">
        <x:v>28</x:v>
      </x:c>
      <x:c r="B32" s="57" t="str">
        <x:v>Ahmad Farras Zhifran Hukdar</x:v>
      </x:c>
      <x:c r="C32" s="80" t="str">
        <x:v>Hadir</x:v>
      </x:c>
      <x:c r="D32" s="58" t="str"/>
    </x:row>
    <x:row r="33">
      <x:c r="A33" s="92" t="n">
        <x:v>29</x:v>
      </x:c>
      <x:c r="B33" s="57" t="str">
        <x:v>Siti Ihktiyatun Shaleha</x:v>
      </x:c>
      <x:c r="C33" s="80" t="str">
        <x:v>Hadir</x:v>
      </x:c>
      <x:c r="D33" s="58" t="str"/>
    </x:row>
    <x:row r="34">
      <x:c r="A34" s="92" t="n">
        <x:v>30</x:v>
      </x:c>
      <x:c r="B34" s="57" t="str">
        <x:v>Ainun Arsyita Azzahra</x:v>
      </x:c>
      <x:c r="C34" s="80" t="str">
        <x:v>Hadir</x:v>
      </x:c>
      <x:c r="D34" s="58" t="str"/>
    </x:row>
    <x:row r="35">
      <x:c r="A35" s="92" t="n">
        <x:v>31</x:v>
      </x:c>
      <x:c r="B35" s="57" t="str">
        <x:v>Siti Nurfadillah</x:v>
      </x:c>
      <x:c r="C35" s="80" t="str">
        <x:v>Hadir</x:v>
      </x:c>
      <x:c r="D35" s="58" t="str"/>
    </x:row>
    <x:row r="36">
      <x:c r="A36" s="92" t="n">
        <x:v>32</x:v>
      </x:c>
      <x:c r="B36" s="57" t="str">
        <x:v>Khayla Jelita Ramadhani</x:v>
      </x:c>
      <x:c r="C36" s="80" t="str">
        <x:v>Hadir</x:v>
      </x:c>
      <x:c r="D36" s="58" t="str"/>
    </x:row>
    <x:row r="37">
      <x:c r="A37" s="92" t="n">
        <x:v>33</x:v>
      </x:c>
      <x:c r="B37" s="57" t="str">
        <x:v>Annisa Aurel Clarista</x:v>
      </x:c>
      <x:c r="C37" s="80" t="str">
        <x:v>Hadir</x:v>
      </x:c>
      <x:c r="D37" s="58" t="str"/>
    </x:row>
    <x:row r="38">
      <x:c r="A38" s="93" t="n">
        <x:v>34</x:v>
      </x:c>
      <x:c r="B38" s="60" t="str">
        <x:v>Muh Izzan Fachrul</x:v>
      </x:c>
      <x:c r="C38" s="81" t="str">
        <x:v>Hadir</x:v>
      </x:c>
      <x:c r="D38" s="61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12" hidden="0" customWidth="1"/>
    <x:col min="25" max="25" width="12" hidden="0" customWidth="1"/>
    <x:col min="26" max="26" width="16" hidden="0" customWidth="1"/>
    <x:col min="27" max="27" width="16" hidden="0" customWidth="1"/>
    <x:col min="28" max="28" width="46" hidden="0" customWidth="1"/>
    <x:col min="30" max="30" width="20" hidden="0" customWidth="1"/>
    <x:col min="31" max="31" width="16" hidden="0" customWidth="1"/>
  </x:cols>
  <x:sheetData>
    <x:row r="1" ht="34" customHeight="1">
      <x:c r="A1" s="5" t="str">
        <x:v>REKAP HASIL KUESIONER SISWA</x:v>
      </x:c>
      <x:c r="B1" s="89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B1" s="109"/>
      <x:c r="AD1" s="27" t="str">
        <x:v>Ringkasan</x:v>
      </x:c>
      <x:c r="AE1" s="29" t="str">
        <x:v>Nilai</x:v>
      </x:c>
    </x:row>
    <x:row r="2" ht="32" customHeight="1">
      <x:c r="A2" s="12" t="str">
        <x:v>Sumber: tangkapan layar Google Sheets. Terdapat 36 baris respons dan 34 nama unik; Chiquita Aurelia Wiral dan Ibtisam Uzma Khumaira masing-masing muncul dua kali.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D2" s="53" t="str">
        <x:v>Total respons</x:v>
      </x:c>
      <x:c r="AE2" s="55" t="n">
        <x:v>36</x:v>
      </x:c>
    </x:row>
    <x:row r="3">
      <x:c r="AD3" s="56" t="str">
        <x:v>Nama unik</x:v>
      </x:c>
      <x:c r="AE3" s="58" t="n">
        <x:v>34</x:v>
      </x:c>
    </x:row>
    <x:row r="4" ht="34" customHeight="1">
      <x:c r="A4" s="27" t="str">
        <x:v>Baris</x:v>
      </x:c>
      <x:c r="B4" s="28" t="str">
        <x:v>Nama Siswa</x:v>
      </x:c>
      <x:c r="C4" s="28" t="str">
        <x:v>Kelas</x:v>
      </x:c>
      <x:c r="D4" s="28" t="str">
        <x:v>Q1</x:v>
      </x:c>
      <x:c r="E4" s="28" t="str">
        <x:v>Q2</x:v>
      </x:c>
      <x:c r="F4" s="28" t="str">
        <x:v>Q3</x:v>
      </x:c>
      <x:c r="G4" s="28" t="str">
        <x:v>Q4</x:v>
      </x:c>
      <x:c r="H4" s="28" t="str">
        <x:v>Q5</x:v>
      </x:c>
      <x:c r="I4" s="28" t="str">
        <x:v>Q6</x:v>
      </x:c>
      <x:c r="J4" s="28" t="str">
        <x:v>Q7</x:v>
      </x:c>
      <x:c r="K4" s="28" t="str">
        <x:v>Q8</x:v>
      </x:c>
      <x:c r="L4" s="28" t="str">
        <x:v>Q9</x:v>
      </x:c>
      <x:c r="M4" s="28" t="str">
        <x:v>Q10</x:v>
      </x:c>
      <x:c r="N4" s="28" t="str">
        <x:v>Q11</x:v>
      </x:c>
      <x:c r="O4" s="28" t="str">
        <x:v>Q12</x:v>
      </x:c>
      <x:c r="P4" s="28" t="str">
        <x:v>Q13</x:v>
      </x:c>
      <x:c r="Q4" s="28" t="str">
        <x:v>Q14</x:v>
      </x:c>
      <x:c r="R4" s="28" t="str">
        <x:v>Q15</x:v>
      </x:c>
      <x:c r="S4" s="28" t="str">
        <x:v>Q16</x:v>
      </x:c>
      <x:c r="T4" s="28" t="str">
        <x:v>Q17</x:v>
      </x:c>
      <x:c r="U4" s="28" t="str">
        <x:v>Q18</x:v>
      </x:c>
      <x:c r="V4" s="28" t="str">
        <x:v>Q19</x:v>
      </x:c>
      <x:c r="W4" s="28" t="str">
        <x:v>Q20</x:v>
      </x:c>
      <x:c r="X4" s="28" t="str">
        <x:v>Rata-rata</x:v>
      </x:c>
      <x:c r="Y4" s="28" t="str">
        <x:v>Persentase</x:v>
      </x:c>
      <x:c r="Z4" s="28" t="str">
        <x:v>Pendapat Umum</x:v>
      </x:c>
      <x:c r="AA4" s="28" t="str">
        <x:v>Kelayakan</x:v>
      </x:c>
      <x:c r="AB4" s="29" t="str">
        <x:v>Catatan</x:v>
      </x:c>
      <x:c r="AD4" s="56" t="str">
        <x:v>Duplikat respons</x:v>
      </x:c>
      <x:c r="AE4" s="58" t="n">
        <x:v>2</x:v>
      </x:c>
    </x:row>
    <x:row r="5">
      <x:c r="A5" s="91" t="n">
        <x:v>2</x:v>
      </x:c>
      <x:c r="B5" s="54" t="str">
        <x:v>SITI IHKTIYATUN SHALEHA</x:v>
      </x:c>
      <x:c r="C5" s="54" t="str">
        <x:v>XI.5</x:v>
      </x:c>
      <x:c r="D5" s="79" t="n">
        <x:v>5</x:v>
      </x:c>
      <x:c r="E5" s="79" t="n">
        <x:v>5</x:v>
      </x:c>
      <x:c r="F5" s="79" t="n">
        <x:v>5</x:v>
      </x:c>
      <x:c r="G5" s="79" t="n">
        <x:v>5</x:v>
      </x:c>
      <x:c r="H5" s="79" t="n">
        <x:v>5</x:v>
      </x:c>
      <x:c r="I5" s="79" t="n">
        <x:v>5</x:v>
      </x:c>
      <x:c r="J5" s="79" t="n">
        <x:v>5</x:v>
      </x:c>
      <x:c r="K5" s="79" t="n">
        <x:v>5</x:v>
      </x:c>
      <x:c r="L5" s="79" t="n">
        <x:v>5</x:v>
      </x:c>
      <x:c r="M5" s="79" t="n">
        <x:v>5</x:v>
      </x:c>
      <x:c r="N5" s="79" t="n">
        <x:v>5</x:v>
      </x:c>
      <x:c r="O5" s="79" t="n">
        <x:v>5</x:v>
      </x:c>
      <x:c r="P5" s="79" t="n">
        <x:v>5</x:v>
      </x:c>
      <x:c r="Q5" s="79" t="n">
        <x:v>5</x:v>
      </x:c>
      <x:c r="R5" s="79" t="n">
        <x:v>5</x:v>
      </x:c>
      <x:c r="S5" s="79" t="n">
        <x:v>5</x:v>
      </x:c>
      <x:c r="T5" s="79" t="n">
        <x:v>5</x:v>
      </x:c>
      <x:c r="U5" s="79" t="n">
        <x:v>5</x:v>
      </x:c>
      <x:c r="V5" s="79" t="n">
        <x:v>5</x:v>
      </x:c>
      <x:c r="W5" s="79" t="n">
        <x:v>5</x:v>
      </x:c>
      <x:c r="X5" s="97" t="n">
        <x:f>AVERAGE(D5:W5)</x:f>
        <x:v>5</x:v>
      </x:c>
      <x:c r="Y5" s="103" t="n">
        <x:f>X5/5</x:f>
        <x:v>1</x:v>
      </x:c>
      <x:c r="Z5" s="54" t="str">
        <x:v>Sangat baik</x:v>
      </x:c>
      <x:c r="AA5" s="54" t="str">
        <x:v>Sangat layak</x:v>
      </x:c>
      <x:c r="AB5" s="55" t="str"/>
      <x:c r="AD5" s="56" t="str">
        <x:v>Skor Likert mentah</x:v>
      </x:c>
      <x:c r="AE5" s="58" t="n">
        <x:f>SUM(D5:W40)</x:f>
        <x:v>3160</x:v>
      </x:c>
    </x:row>
    <x:row r="6">
      <x:c r="A6" s="92" t="n">
        <x:v>3</x:v>
      </x:c>
      <x:c r="B6" s="57" t="str">
        <x:v>Siti Marwah</x:v>
      </x:c>
      <x:c r="C6" s="57" t="str">
        <x:v>XI.5</x:v>
      </x:c>
      <x:c r="D6" s="80" t="n">
        <x:v>4</x:v>
      </x:c>
      <x:c r="E6" s="80" t="n">
        <x:v>4</x:v>
      </x:c>
      <x:c r="F6" s="80" t="n">
        <x:v>4</x:v>
      </x:c>
      <x:c r="G6" s="80" t="n">
        <x:v>4</x:v>
      </x:c>
      <x:c r="H6" s="80" t="n">
        <x:v>4</x:v>
      </x:c>
      <x:c r="I6" s="80" t="n">
        <x:v>4</x:v>
      </x:c>
      <x:c r="J6" s="80" t="n">
        <x:v>4</x:v>
      </x:c>
      <x:c r="K6" s="80" t="n">
        <x:v>4</x:v>
      </x:c>
      <x:c r="L6" s="80" t="n">
        <x:v>4</x:v>
      </x:c>
      <x:c r="M6" s="80" t="n">
        <x:v>5</x:v>
      </x:c>
      <x:c r="N6" s="80" t="n">
        <x:v>5</x:v>
      </x:c>
      <x:c r="O6" s="80" t="n">
        <x:v>5</x:v>
      </x:c>
      <x:c r="P6" s="80" t="n">
        <x:v>5</x:v>
      </x:c>
      <x:c r="Q6" s="80" t="n">
        <x:v>5</x:v>
      </x:c>
      <x:c r="R6" s="80" t="n">
        <x:v>5</x:v>
      </x:c>
      <x:c r="S6" s="80" t="n">
        <x:v>4</x:v>
      </x:c>
      <x:c r="T6" s="80" t="n">
        <x:v>5</x:v>
      </x:c>
      <x:c r="U6" s="80" t="n">
        <x:v>4</x:v>
      </x:c>
      <x:c r="V6" s="80" t="n">
        <x:v>5</x:v>
      </x:c>
      <x:c r="W6" s="80" t="n">
        <x:v>4</x:v>
      </x:c>
      <x:c r="X6" s="98" t="n">
        <x:f>AVERAGE(D6:W6)</x:f>
        <x:v>4.4</x:v>
      </x:c>
      <x:c r="Y6" s="104" t="n">
        <x:f>X6/5</x:f>
        <x:v>0.8800000000000001</x:v>
      </x:c>
      <x:c r="Z6" s="57" t="str">
        <x:v>Sangat baik</x:v>
      </x:c>
      <x:c r="AA6" s="57" t="str">
        <x:v>Sangat layak</x:v>
      </x:c>
      <x:c r="AB6" s="58" t="str"/>
      <x:c r="AD6" s="56" t="str">
        <x:v>Maksimum mentah</x:v>
      </x:c>
      <x:c r="AE6" s="58" t="n">
        <x:v>3600</x:v>
      </x:c>
    </x:row>
    <x:row r="7">
      <x:c r="A7" s="92" t="n">
        <x:v>4</x:v>
      </x:c>
      <x:c r="B7" s="57" t="str">
        <x:v>IBTISAM UZMA KHUMAIRA</x:v>
      </x:c>
      <x:c r="C7" s="57" t="str">
        <x:v>XI.5</x:v>
      </x:c>
      <x:c r="D7" s="80" t="n">
        <x:v>1</x:v>
      </x:c>
      <x:c r="E7" s="80" t="n">
        <x:v>1</x:v>
      </x:c>
      <x:c r="F7" s="80" t="n">
        <x:v>1</x:v>
      </x:c>
      <x:c r="G7" s="80" t="n">
        <x:v>1</x:v>
      </x:c>
      <x:c r="H7" s="80" t="n">
        <x:v>1</x:v>
      </x:c>
      <x:c r="I7" s="80" t="n">
        <x:v>1</x:v>
      </x:c>
      <x:c r="J7" s="80" t="n">
        <x:v>1</x:v>
      </x:c>
      <x:c r="K7" s="80" t="n">
        <x:v>1</x:v>
      </x:c>
      <x:c r="L7" s="80" t="n">
        <x:v>1</x:v>
      </x:c>
      <x:c r="M7" s="80" t="n">
        <x:v>1</x:v>
      </x:c>
      <x:c r="N7" s="80" t="n">
        <x:v>1</x:v>
      </x:c>
      <x:c r="O7" s="80" t="n">
        <x:v>1</x:v>
      </x:c>
      <x:c r="P7" s="80" t="n">
        <x:v>1</x:v>
      </x:c>
      <x:c r="Q7" s="80" t="n">
        <x:v>1</x:v>
      </x:c>
      <x:c r="R7" s="80" t="n">
        <x:v>1</x:v>
      </x:c>
      <x:c r="S7" s="80" t="n">
        <x:v>1</x:v>
      </x:c>
      <x:c r="T7" s="80" t="n">
        <x:v>1</x:v>
      </x:c>
      <x:c r="U7" s="80" t="n">
        <x:v>1</x:v>
      </x:c>
      <x:c r="V7" s="80" t="n">
        <x:v>1</x:v>
      </x:c>
      <x:c r="W7" s="80" t="n">
        <x:v>1</x:v>
      </x:c>
      <x:c r="X7" s="98" t="n">
        <x:f>AVERAGE(D7:W7)</x:f>
        <x:v>1</x:v>
      </x:c>
      <x:c r="Y7" s="104" t="n">
        <x:f>X7/5</x:f>
        <x:v>0.2</x:v>
      </x:c>
      <x:c r="Z7" s="57" t="str">
        <x:v>Sangat baik</x:v>
      </x:c>
      <x:c r="AA7" s="57" t="str">
        <x:v>Sangat layak</x:v>
      </x:c>
      <x:c r="AB7" s="58" t="str">
        <x:v>Respons ke-1 dari 2; respons terakhir dipakai pada tabel Gabungan</x:v>
      </x:c>
      <x:c r="AD7" s="59" t="str">
        <x:v>Persentase mentah</x:v>
      </x:c>
      <x:c r="AE7" s="111" t="n">
        <x:f>AE5/AE6</x:f>
        <x:v>0.8777777777777778</x:v>
      </x:c>
    </x:row>
    <x:row r="8">
      <x:c r="A8" s="92" t="n">
        <x:v>5</x:v>
      </x:c>
      <x:c r="B8" s="57" t="str">
        <x:v>Nur Aqillah</x:v>
      </x:c>
      <x:c r="C8" s="57" t="str">
        <x:v>XI.5</x:v>
      </x:c>
      <x:c r="D8" s="80" t="n">
        <x:v>5</x:v>
      </x:c>
      <x:c r="E8" s="80" t="n">
        <x:v>5</x:v>
      </x:c>
      <x:c r="F8" s="80" t="n">
        <x:v>5</x:v>
      </x:c>
      <x:c r="G8" s="80" t="n">
        <x:v>5</x:v>
      </x:c>
      <x:c r="H8" s="80" t="n">
        <x:v>5</x:v>
      </x:c>
      <x:c r="I8" s="80" t="n">
        <x:v>5</x:v>
      </x:c>
      <x:c r="J8" s="80" t="n">
        <x:v>5</x:v>
      </x:c>
      <x:c r="K8" s="80" t="n">
        <x:v>5</x:v>
      </x:c>
      <x:c r="L8" s="80" t="n">
        <x:v>5</x:v>
      </x:c>
      <x:c r="M8" s="80" t="n">
        <x:v>5</x:v>
      </x:c>
      <x:c r="N8" s="80" t="n">
        <x:v>5</x:v>
      </x:c>
      <x:c r="O8" s="80" t="n">
        <x:v>5</x:v>
      </x:c>
      <x:c r="P8" s="80" t="n">
        <x:v>5</x:v>
      </x:c>
      <x:c r="Q8" s="80" t="n">
        <x:v>5</x:v>
      </x:c>
      <x:c r="R8" s="80" t="n">
        <x:v>5</x:v>
      </x:c>
      <x:c r="S8" s="80" t="n">
        <x:v>5</x:v>
      </x:c>
      <x:c r="T8" s="80" t="n">
        <x:v>5</x:v>
      </x:c>
      <x:c r="U8" s="80" t="n">
        <x:v>5</x:v>
      </x:c>
      <x:c r="V8" s="80" t="n">
        <x:v>5</x:v>
      </x:c>
      <x:c r="W8" s="80" t="n">
        <x:v>5</x:v>
      </x:c>
      <x:c r="X8" s="98" t="n">
        <x:f>AVERAGE(D8:W8)</x:f>
        <x:v>5</x:v>
      </x:c>
      <x:c r="Y8" s="104" t="n">
        <x:f>X8/5</x:f>
        <x:v>1</x:v>
      </x:c>
      <x:c r="Z8" s="57" t="str">
        <x:v>Sangat baik</x:v>
      </x:c>
      <x:c r="AA8" s="57" t="str">
        <x:v>Sangat layak</x:v>
      </x:c>
      <x:c r="AB8" s="58" t="str"/>
    </x:row>
    <x:row r="9">
      <x:c r="A9" s="92" t="n">
        <x:v>6</x:v>
      </x:c>
      <x:c r="B9" s="57" t="str">
        <x:v>Muh Nurhadi B</x:v>
      </x:c>
      <x:c r="C9" s="57" t="str">
        <x:v>XI.5</x:v>
      </x:c>
      <x:c r="D9" s="80" t="n">
        <x:v>5</x:v>
      </x:c>
      <x:c r="E9" s="80" t="n">
        <x:v>5</x:v>
      </x:c>
      <x:c r="F9" s="80" t="n">
        <x:v>5</x:v>
      </x:c>
      <x:c r="G9" s="80" t="n">
        <x:v>5</x:v>
      </x:c>
      <x:c r="H9" s="80" t="n">
        <x:v>5</x:v>
      </x:c>
      <x:c r="I9" s="80" t="n">
        <x:v>5</x:v>
      </x:c>
      <x:c r="J9" s="80" t="n">
        <x:v>5</x:v>
      </x:c>
      <x:c r="K9" s="80" t="n">
        <x:v>5</x:v>
      </x:c>
      <x:c r="L9" s="80" t="n">
        <x:v>5</x:v>
      </x:c>
      <x:c r="M9" s="80" t="n">
        <x:v>5</x:v>
      </x:c>
      <x:c r="N9" s="80" t="n">
        <x:v>5</x:v>
      </x:c>
      <x:c r="O9" s="80" t="n">
        <x:v>5</x:v>
      </x:c>
      <x:c r="P9" s="80" t="n">
        <x:v>5</x:v>
      </x:c>
      <x:c r="Q9" s="80" t="n">
        <x:v>5</x:v>
      </x:c>
      <x:c r="R9" s="80" t="n">
        <x:v>5</x:v>
      </x:c>
      <x:c r="S9" s="80" t="n">
        <x:v>5</x:v>
      </x:c>
      <x:c r="T9" s="80" t="n">
        <x:v>5</x:v>
      </x:c>
      <x:c r="U9" s="80" t="n">
        <x:v>5</x:v>
      </x:c>
      <x:c r="V9" s="80" t="n">
        <x:v>5</x:v>
      </x:c>
      <x:c r="W9" s="80" t="n">
        <x:v>5</x:v>
      </x:c>
      <x:c r="X9" s="98" t="n">
        <x:f>AVERAGE(D9:W9)</x:f>
        <x:v>5</x:v>
      </x:c>
      <x:c r="Y9" s="104" t="n">
        <x:f>X9/5</x:f>
        <x:v>1</x:v>
      </x:c>
      <x:c r="Z9" s="57" t="str">
        <x:v>Sangat baik</x:v>
      </x:c>
      <x:c r="AA9" s="57" t="str">
        <x:v>Sangat layak</x:v>
      </x:c>
      <x:c r="AB9" s="58" t="str"/>
    </x:row>
    <x:row r="10">
      <x:c r="A10" s="92" t="n">
        <x:v>7</x:v>
      </x:c>
      <x:c r="B10" s="57" t="str">
        <x:v>Khayla Jelita Ramadhani</x:v>
      </x:c>
      <x:c r="C10" s="57" t="str">
        <x:v>XI.5</x:v>
      </x:c>
      <x:c r="D10" s="80" t="n">
        <x:v>5</x:v>
      </x:c>
      <x:c r="E10" s="80" t="n">
        <x:v>5</x:v>
      </x:c>
      <x:c r="F10" s="80" t="n">
        <x:v>5</x:v>
      </x:c>
      <x:c r="G10" s="80" t="n">
        <x:v>5</x:v>
      </x:c>
      <x:c r="H10" s="80" t="n">
        <x:v>5</x:v>
      </x:c>
      <x:c r="I10" s="80" t="n">
        <x:v>5</x:v>
      </x:c>
      <x:c r="J10" s="80" t="n">
        <x:v>5</x:v>
      </x:c>
      <x:c r="K10" s="80" t="n">
        <x:v>5</x:v>
      </x:c>
      <x:c r="L10" s="80" t="n">
        <x:v>5</x:v>
      </x:c>
      <x:c r="M10" s="80" t="n">
        <x:v>5</x:v>
      </x:c>
      <x:c r="N10" s="80" t="n">
        <x:v>5</x:v>
      </x:c>
      <x:c r="O10" s="80" t="n">
        <x:v>5</x:v>
      </x:c>
      <x:c r="P10" s="80" t="n">
        <x:v>5</x:v>
      </x:c>
      <x:c r="Q10" s="80" t="n">
        <x:v>5</x:v>
      </x:c>
      <x:c r="R10" s="80" t="n">
        <x:v>5</x:v>
      </x:c>
      <x:c r="S10" s="80" t="n">
        <x:v>5</x:v>
      </x:c>
      <x:c r="T10" s="80" t="n">
        <x:v>5</x:v>
      </x:c>
      <x:c r="U10" s="80" t="n">
        <x:v>5</x:v>
      </x:c>
      <x:c r="V10" s="80" t="n">
        <x:v>5</x:v>
      </x:c>
      <x:c r="W10" s="80" t="n">
        <x:v>5</x:v>
      </x:c>
      <x:c r="X10" s="98" t="n">
        <x:f>AVERAGE(D10:W10)</x:f>
        <x:v>5</x:v>
      </x:c>
      <x:c r="Y10" s="104" t="n">
        <x:f>X10/5</x:f>
        <x:v>1</x:v>
      </x:c>
      <x:c r="Z10" s="57" t="str">
        <x:v>Sangat baik</x:v>
      </x:c>
      <x:c r="AA10" s="57" t="str">
        <x:v>Sangat layak</x:v>
      </x:c>
      <x:c r="AB10" s="58" t="str"/>
    </x:row>
    <x:row r="11">
      <x:c r="A11" s="92" t="n">
        <x:v>8</x:v>
      </x:c>
      <x:c r="B11" s="57" t="str">
        <x:v>Muh Multazam</x:v>
      </x:c>
      <x:c r="C11" s="57" t="str">
        <x:v>XI.5</x:v>
      </x:c>
      <x:c r="D11" s="80" t="n">
        <x:v>5</x:v>
      </x:c>
      <x:c r="E11" s="80" t="n">
        <x:v>5</x:v>
      </x:c>
      <x:c r="F11" s="80" t="n">
        <x:v>5</x:v>
      </x:c>
      <x:c r="G11" s="80" t="n">
        <x:v>5</x:v>
      </x:c>
      <x:c r="H11" s="80" t="n">
        <x:v>5</x:v>
      </x:c>
      <x:c r="I11" s="80" t="n">
        <x:v>5</x:v>
      </x:c>
      <x:c r="J11" s="80" t="n">
        <x:v>5</x:v>
      </x:c>
      <x:c r="K11" s="80" t="n">
        <x:v>5</x:v>
      </x:c>
      <x:c r="L11" s="80" t="n">
        <x:v>5</x:v>
      </x:c>
      <x:c r="M11" s="80" t="n">
        <x:v>5</x:v>
      </x:c>
      <x:c r="N11" s="80" t="n">
        <x:v>5</x:v>
      </x:c>
      <x:c r="O11" s="80" t="n">
        <x:v>5</x:v>
      </x:c>
      <x:c r="P11" s="80" t="n">
        <x:v>5</x:v>
      </x:c>
      <x:c r="Q11" s="80" t="n">
        <x:v>5</x:v>
      </x:c>
      <x:c r="R11" s="80" t="n">
        <x:v>5</x:v>
      </x:c>
      <x:c r="S11" s="80" t="n">
        <x:v>5</x:v>
      </x:c>
      <x:c r="T11" s="80" t="n">
        <x:v>5</x:v>
      </x:c>
      <x:c r="U11" s="80" t="n">
        <x:v>5</x:v>
      </x:c>
      <x:c r="V11" s="80" t="n">
        <x:v>5</x:v>
      </x:c>
      <x:c r="W11" s="80" t="n">
        <x:v>5</x:v>
      </x:c>
      <x:c r="X11" s="98" t="n">
        <x:f>AVERAGE(D11:W11)</x:f>
        <x:v>5</x:v>
      </x:c>
      <x:c r="Y11" s="104" t="n">
        <x:f>X11/5</x:f>
        <x:v>1</x:v>
      </x:c>
      <x:c r="Z11" s="57" t="str">
        <x:v>Sangat baik</x:v>
      </x:c>
      <x:c r="AA11" s="57" t="str">
        <x:v>Sangat layak</x:v>
      </x:c>
      <x:c r="AB11" s="58" t="str"/>
    </x:row>
    <x:row r="12">
      <x:c r="A12" s="92" t="n">
        <x:v>9</x:v>
      </x:c>
      <x:c r="B12" s="57" t="str">
        <x:v>Al Mirah Khaerani</x:v>
      </x:c>
      <x:c r="C12" s="57" t="str">
        <x:v>XI.5</x:v>
      </x:c>
      <x:c r="D12" s="80" t="n">
        <x:v>5</x:v>
      </x:c>
      <x:c r="E12" s="80" t="n">
        <x:v>5</x:v>
      </x:c>
      <x:c r="F12" s="80" t="n">
        <x:v>5</x:v>
      </x:c>
      <x:c r="G12" s="80" t="n">
        <x:v>5</x:v>
      </x:c>
      <x:c r="H12" s="80" t="n">
        <x:v>5</x:v>
      </x:c>
      <x:c r="I12" s="80" t="n">
        <x:v>5</x:v>
      </x:c>
      <x:c r="J12" s="80" t="n">
        <x:v>5</x:v>
      </x:c>
      <x:c r="K12" s="80" t="n">
        <x:v>5</x:v>
      </x:c>
      <x:c r="L12" s="80" t="n">
        <x:v>5</x:v>
      </x:c>
      <x:c r="M12" s="80" t="n">
        <x:v>5</x:v>
      </x:c>
      <x:c r="N12" s="80" t="n">
        <x:v>5</x:v>
      </x:c>
      <x:c r="O12" s="80" t="n">
        <x:v>3</x:v>
      </x:c>
      <x:c r="P12" s="80" t="n">
        <x:v>5</x:v>
      </x:c>
      <x:c r="Q12" s="80" t="n">
        <x:v>5</x:v>
      </x:c>
      <x:c r="R12" s="80" t="n">
        <x:v>5</x:v>
      </x:c>
      <x:c r="S12" s="80" t="n">
        <x:v>5</x:v>
      </x:c>
      <x:c r="T12" s="80" t="n">
        <x:v>5</x:v>
      </x:c>
      <x:c r="U12" s="80" t="n">
        <x:v>5</x:v>
      </x:c>
      <x:c r="V12" s="80" t="n">
        <x:v>5</x:v>
      </x:c>
      <x:c r="W12" s="80" t="n">
        <x:v>5</x:v>
      </x:c>
      <x:c r="X12" s="98" t="n">
        <x:f>AVERAGE(D12:W12)</x:f>
        <x:v>4.9</x:v>
      </x:c>
      <x:c r="Y12" s="104" t="n">
        <x:f>X12/5</x:f>
        <x:v>0.9800000000000001</x:v>
      </x:c>
      <x:c r="Z12" s="57" t="str">
        <x:v>Sangat baik</x:v>
      </x:c>
      <x:c r="AA12" s="57" t="str">
        <x:v>Sangat layak</x:v>
      </x:c>
      <x:c r="AB12" s="58" t="str"/>
    </x:row>
    <x:row r="13">
      <x:c r="A13" s="92" t="n">
        <x:v>10</x:v>
      </x:c>
      <x:c r="B13" s="57" t="str">
        <x:v>Ainun Arsyita Azzahra</x:v>
      </x:c>
      <x:c r="C13" s="57" t="str">
        <x:v>XI.5</x:v>
      </x:c>
      <x:c r="D13" s="80" t="n">
        <x:v>5</x:v>
      </x:c>
      <x:c r="E13" s="80" t="n">
        <x:v>5</x:v>
      </x:c>
      <x:c r="F13" s="80" t="n">
        <x:v>5</x:v>
      </x:c>
      <x:c r="G13" s="80" t="n">
        <x:v>5</x:v>
      </x:c>
      <x:c r="H13" s="80" t="n">
        <x:v>5</x:v>
      </x:c>
      <x:c r="I13" s="80" t="n">
        <x:v>5</x:v>
      </x:c>
      <x:c r="J13" s="80" t="n">
        <x:v>5</x:v>
      </x:c>
      <x:c r="K13" s="80" t="n">
        <x:v>5</x:v>
      </x:c>
      <x:c r="L13" s="80" t="n">
        <x:v>5</x:v>
      </x:c>
      <x:c r="M13" s="80" t="n">
        <x:v>5</x:v>
      </x:c>
      <x:c r="N13" s="80" t="n">
        <x:v>5</x:v>
      </x:c>
      <x:c r="O13" s="80" t="n">
        <x:v>5</x:v>
      </x:c>
      <x:c r="P13" s="80" t="n">
        <x:v>5</x:v>
      </x:c>
      <x:c r="Q13" s="80" t="n">
        <x:v>5</x:v>
      </x:c>
      <x:c r="R13" s="80" t="n">
        <x:v>5</x:v>
      </x:c>
      <x:c r="S13" s="80" t="n">
        <x:v>5</x:v>
      </x:c>
      <x:c r="T13" s="80" t="n">
        <x:v>5</x:v>
      </x:c>
      <x:c r="U13" s="80" t="n">
        <x:v>5</x:v>
      </x:c>
      <x:c r="V13" s="80" t="n">
        <x:v>5</x:v>
      </x:c>
      <x:c r="W13" s="80" t="n">
        <x:v>5</x:v>
      </x:c>
      <x:c r="X13" s="98" t="n">
        <x:f>AVERAGE(D13:W13)</x:f>
        <x:v>5</x:v>
      </x:c>
      <x:c r="Y13" s="104" t="n">
        <x:f>X13/5</x:f>
        <x:v>1</x:v>
      </x:c>
      <x:c r="Z13" s="57" t="str">
        <x:v>Sangat baik</x:v>
      </x:c>
      <x:c r="AA13" s="57" t="str">
        <x:v>Sangat layak</x:v>
      </x:c>
      <x:c r="AB13" s="58" t="str"/>
    </x:row>
    <x:row r="14">
      <x:c r="A14" s="92" t="n">
        <x:v>11</x:v>
      </x:c>
      <x:c r="B14" s="57" t="str">
        <x:v>Syifa Azzahra</x:v>
      </x:c>
      <x:c r="C14" s="57" t="str">
        <x:v>XI.5</x:v>
      </x:c>
      <x:c r="D14" s="80" t="n">
        <x:v>5</x:v>
      </x:c>
      <x:c r="E14" s="80" t="n">
        <x:v>5</x:v>
      </x:c>
      <x:c r="F14" s="80" t="n">
        <x:v>5</x:v>
      </x:c>
      <x:c r="G14" s="80" t="n">
        <x:v>5</x:v>
      </x:c>
      <x:c r="H14" s="80" t="n">
        <x:v>5</x:v>
      </x:c>
      <x:c r="I14" s="80" t="n">
        <x:v>5</x:v>
      </x:c>
      <x:c r="J14" s="80" t="n">
        <x:v>5</x:v>
      </x:c>
      <x:c r="K14" s="80" t="n">
        <x:v>5</x:v>
      </x:c>
      <x:c r="L14" s="80" t="n">
        <x:v>5</x:v>
      </x:c>
      <x:c r="M14" s="80" t="n">
        <x:v>5</x:v>
      </x:c>
      <x:c r="N14" s="80" t="n">
        <x:v>5</x:v>
      </x:c>
      <x:c r="O14" s="80" t="n">
        <x:v>5</x:v>
      </x:c>
      <x:c r="P14" s="80" t="n">
        <x:v>5</x:v>
      </x:c>
      <x:c r="Q14" s="80" t="n">
        <x:v>5</x:v>
      </x:c>
      <x:c r="R14" s="80" t="n">
        <x:v>5</x:v>
      </x:c>
      <x:c r="S14" s="80" t="n">
        <x:v>5</x:v>
      </x:c>
      <x:c r="T14" s="80" t="n">
        <x:v>5</x:v>
      </x:c>
      <x:c r="U14" s="80" t="n">
        <x:v>5</x:v>
      </x:c>
      <x:c r="V14" s="80" t="n">
        <x:v>5</x:v>
      </x:c>
      <x:c r="W14" s="80" t="n">
        <x:v>5</x:v>
      </x:c>
      <x:c r="X14" s="98" t="n">
        <x:f>AVERAGE(D14:W14)</x:f>
        <x:v>5</x:v>
      </x:c>
      <x:c r="Y14" s="104" t="n">
        <x:f>X14/5</x:f>
        <x:v>1</x:v>
      </x:c>
      <x:c r="Z14" s="57" t="str">
        <x:v>Sangat baik</x:v>
      </x:c>
      <x:c r="AA14" s="57" t="str">
        <x:v>Sangat layak</x:v>
      </x:c>
      <x:c r="AB14" s="58" t="str"/>
    </x:row>
    <x:row r="15">
      <x:c r="A15" s="92" t="n">
        <x:v>12</x:v>
      </x:c>
      <x:c r="B15" s="57" t="str">
        <x:v>Annisa Aurel Clarista</x:v>
      </x:c>
      <x:c r="C15" s="57" t="str">
        <x:v>XI.5</x:v>
      </x:c>
      <x:c r="D15" s="80" t="n">
        <x:v>5</x:v>
      </x:c>
      <x:c r="E15" s="80" t="n">
        <x:v>5</x:v>
      </x:c>
      <x:c r="F15" s="80" t="n">
        <x:v>5</x:v>
      </x:c>
      <x:c r="G15" s="80" t="n">
        <x:v>5</x:v>
      </x:c>
      <x:c r="H15" s="80" t="n">
        <x:v>5</x:v>
      </x:c>
      <x:c r="I15" s="80" t="n">
        <x:v>5</x:v>
      </x:c>
      <x:c r="J15" s="80" t="n">
        <x:v>5</x:v>
      </x:c>
      <x:c r="K15" s="80" t="n">
        <x:v>5</x:v>
      </x:c>
      <x:c r="L15" s="80" t="n">
        <x:v>5</x:v>
      </x:c>
      <x:c r="M15" s="80" t="n">
        <x:v>5</x:v>
      </x:c>
      <x:c r="N15" s="80" t="n">
        <x:v>5</x:v>
      </x:c>
      <x:c r="O15" s="80" t="n">
        <x:v>5</x:v>
      </x:c>
      <x:c r="P15" s="80" t="n">
        <x:v>5</x:v>
      </x:c>
      <x:c r="Q15" s="80" t="n">
        <x:v>5</x:v>
      </x:c>
      <x:c r="R15" s="80" t="n">
        <x:v>5</x:v>
      </x:c>
      <x:c r="S15" s="80" t="n">
        <x:v>5</x:v>
      </x:c>
      <x:c r="T15" s="80" t="n">
        <x:v>5</x:v>
      </x:c>
      <x:c r="U15" s="80" t="n">
        <x:v>5</x:v>
      </x:c>
      <x:c r="V15" s="80" t="n">
        <x:v>5</x:v>
      </x:c>
      <x:c r="W15" s="80" t="n">
        <x:v>5</x:v>
      </x:c>
      <x:c r="X15" s="98" t="n">
        <x:f>AVERAGE(D15:W15)</x:f>
        <x:v>5</x:v>
      </x:c>
      <x:c r="Y15" s="104" t="n">
        <x:f>X15/5</x:f>
        <x:v>1</x:v>
      </x:c>
      <x:c r="Z15" s="57" t="str">
        <x:v>Sangat baik</x:v>
      </x:c>
      <x:c r="AA15" s="57" t="str">
        <x:v>Sangat layak</x:v>
      </x:c>
      <x:c r="AB15" s="58" t="str"/>
    </x:row>
    <x:row r="16">
      <x:c r="A16" s="92" t="n">
        <x:v>13</x:v>
      </x:c>
      <x:c r="B16" s="57" t="str">
        <x:v>Andyanta Baskoro M</x:v>
      </x:c>
      <x:c r="C16" s="57" t="str">
        <x:v>XI.5</x:v>
      </x:c>
      <x:c r="D16" s="80" t="n">
        <x:v>5</x:v>
      </x:c>
      <x:c r="E16" s="80" t="n">
        <x:v>4</x:v>
      </x:c>
      <x:c r="F16" s="80" t="n">
        <x:v>5</x:v>
      </x:c>
      <x:c r="G16" s="80" t="n">
        <x:v>3</x:v>
      </x:c>
      <x:c r="H16" s="80" t="n">
        <x:v>5</x:v>
      </x:c>
      <x:c r="I16" s="80" t="n">
        <x:v>5</x:v>
      </x:c>
      <x:c r="J16" s="80" t="n">
        <x:v>5</x:v>
      </x:c>
      <x:c r="K16" s="80" t="n">
        <x:v>5</x:v>
      </x:c>
      <x:c r="L16" s="80" t="n">
        <x:v>5</x:v>
      </x:c>
      <x:c r="M16" s="80" t="n">
        <x:v>5</x:v>
      </x:c>
      <x:c r="N16" s="80" t="n">
        <x:v>5</x:v>
      </x:c>
      <x:c r="O16" s="80" t="n">
        <x:v>5</x:v>
      </x:c>
      <x:c r="P16" s="80" t="n">
        <x:v>5</x:v>
      </x:c>
      <x:c r="Q16" s="80" t="n">
        <x:v>5</x:v>
      </x:c>
      <x:c r="R16" s="80" t="n">
        <x:v>5</x:v>
      </x:c>
      <x:c r="S16" s="80" t="n">
        <x:v>5</x:v>
      </x:c>
      <x:c r="T16" s="80" t="n">
        <x:v>5</x:v>
      </x:c>
      <x:c r="U16" s="80" t="n">
        <x:v>5</x:v>
      </x:c>
      <x:c r="V16" s="80" t="n">
        <x:v>5</x:v>
      </x:c>
      <x:c r="W16" s="80" t="n">
        <x:v>5</x:v>
      </x:c>
      <x:c r="X16" s="98" t="n">
        <x:f>AVERAGE(D16:W16)</x:f>
        <x:v>4.85</x:v>
      </x:c>
      <x:c r="Y16" s="104" t="n">
        <x:f>X16/5</x:f>
        <x:v>0.97</x:v>
      </x:c>
      <x:c r="Z16" s="57" t="str">
        <x:v>Sangat baik</x:v>
      </x:c>
      <x:c r="AA16" s="57" t="str">
        <x:v>Sangat layak</x:v>
      </x:c>
      <x:c r="AB16" s="58" t="str"/>
    </x:row>
    <x:row r="17">
      <x:c r="A17" s="92" t="n">
        <x:v>14</x:v>
      </x:c>
      <x:c r="B17" s="57" t="str">
        <x:v>Trinur Alfisyahri</x:v>
      </x:c>
      <x:c r="C17" s="57" t="str">
        <x:v>XI.5</x:v>
      </x:c>
      <x:c r="D17" s="80" t="n">
        <x:v>5</x:v>
      </x:c>
      <x:c r="E17" s="80" t="n">
        <x:v>5</x:v>
      </x:c>
      <x:c r="F17" s="80" t="n">
        <x:v>5</x:v>
      </x:c>
      <x:c r="G17" s="80" t="n">
        <x:v>4</x:v>
      </x:c>
      <x:c r="H17" s="80" t="n">
        <x:v>5</x:v>
      </x:c>
      <x:c r="I17" s="80" t="n">
        <x:v>5</x:v>
      </x:c>
      <x:c r="J17" s="80" t="n">
        <x:v>5</x:v>
      </x:c>
      <x:c r="K17" s="80" t="n">
        <x:v>4</x:v>
      </x:c>
      <x:c r="L17" s="80" t="n">
        <x:v>5</x:v>
      </x:c>
      <x:c r="M17" s="80" t="n">
        <x:v>5</x:v>
      </x:c>
      <x:c r="N17" s="80" t="n">
        <x:v>5</x:v>
      </x:c>
      <x:c r="O17" s="80" t="n">
        <x:v>5</x:v>
      </x:c>
      <x:c r="P17" s="80" t="n">
        <x:v>5</x:v>
      </x:c>
      <x:c r="Q17" s="80" t="n">
        <x:v>1</x:v>
      </x:c>
      <x:c r="R17" s="80" t="n">
        <x:v>5</x:v>
      </x:c>
      <x:c r="S17" s="80" t="n">
        <x:v>5</x:v>
      </x:c>
      <x:c r="T17" s="80" t="n">
        <x:v>5</x:v>
      </x:c>
      <x:c r="U17" s="80" t="n">
        <x:v>5</x:v>
      </x:c>
      <x:c r="V17" s="80" t="n">
        <x:v>5</x:v>
      </x:c>
      <x:c r="W17" s="80" t="n">
        <x:v>5</x:v>
      </x:c>
      <x:c r="X17" s="98" t="n">
        <x:f>AVERAGE(D17:W17)</x:f>
        <x:v>4.7</x:v>
      </x:c>
      <x:c r="Y17" s="104" t="n">
        <x:f>X17/5</x:f>
        <x:v>0.9400000000000001</x:v>
      </x:c>
      <x:c r="Z17" s="57" t="str">
        <x:v>Sangat baik</x:v>
      </x:c>
      <x:c r="AA17" s="57" t="str">
        <x:v>Sangat layak</x:v>
      </x:c>
      <x:c r="AB17" s="58" t="str"/>
    </x:row>
    <x:row r="18">
      <x:c r="A18" s="92" t="n">
        <x:v>15</x:v>
      </x:c>
      <x:c r="B18" s="57" t="str">
        <x:v>Izzatul Afifah Zahra T.</x:v>
      </x:c>
      <x:c r="C18" s="57" t="str">
        <x:v>XI.5</x:v>
      </x:c>
      <x:c r="D18" s="80" t="n">
        <x:v>4</x:v>
      </x:c>
      <x:c r="E18" s="80" t="n">
        <x:v>3</x:v>
      </x:c>
      <x:c r="F18" s="80" t="n">
        <x:v>4</x:v>
      </x:c>
      <x:c r="G18" s="80" t="n">
        <x:v>5</x:v>
      </x:c>
      <x:c r="H18" s="80" t="n">
        <x:v>3</x:v>
      </x:c>
      <x:c r="I18" s="80" t="n">
        <x:v>5</x:v>
      </x:c>
      <x:c r="J18" s="80" t="n">
        <x:v>5</x:v>
      </x:c>
      <x:c r="K18" s="80" t="n">
        <x:v>5</x:v>
      </x:c>
      <x:c r="L18" s="80" t="n">
        <x:v>3</x:v>
      </x:c>
      <x:c r="M18" s="80" t="n">
        <x:v>5</x:v>
      </x:c>
      <x:c r="N18" s="80" t="n">
        <x:v>4</x:v>
      </x:c>
      <x:c r="O18" s="80" t="n">
        <x:v>2</x:v>
      </x:c>
      <x:c r="P18" s="80" t="n">
        <x:v>5</x:v>
      </x:c>
      <x:c r="Q18" s="80" t="n">
        <x:v>2</x:v>
      </x:c>
      <x:c r="R18" s="80" t="n">
        <x:v>5</x:v>
      </x:c>
      <x:c r="S18" s="80" t="n">
        <x:v>5</x:v>
      </x:c>
      <x:c r="T18" s="80" t="n">
        <x:v>5</x:v>
      </x:c>
      <x:c r="U18" s="80" t="n">
        <x:v>5</x:v>
      </x:c>
      <x:c r="V18" s="80" t="n">
        <x:v>5</x:v>
      </x:c>
      <x:c r="W18" s="80" t="n">
        <x:v>5</x:v>
      </x:c>
      <x:c r="X18" s="98" t="n">
        <x:f>AVERAGE(D18:W18)</x:f>
        <x:v>4.25</x:v>
      </x:c>
      <x:c r="Y18" s="104" t="n">
        <x:f>X18/5</x:f>
        <x:v>0.85</x:v>
      </x:c>
      <x:c r="Z18" s="57" t="str">
        <x:v>Baik</x:v>
      </x:c>
      <x:c r="AA18" s="57" t="str">
        <x:v>Sangat layak</x:v>
      </x:c>
      <x:c r="AB18" s="58" t="str"/>
    </x:row>
    <x:row r="19">
      <x:c r="A19" s="92" t="n">
        <x:v>16</x:v>
      </x:c>
      <x:c r="B19" s="57" t="str">
        <x:v>Chiquita Aurelia Wiral</x:v>
      </x:c>
      <x:c r="C19" s="57" t="str">
        <x:v>XI.5</x:v>
      </x:c>
      <x:c r="D19" s="80" t="n">
        <x:v>1</x:v>
      </x:c>
      <x:c r="E19" s="80" t="n">
        <x:v>1</x:v>
      </x:c>
      <x:c r="F19" s="80" t="n">
        <x:v>1</x:v>
      </x:c>
      <x:c r="G19" s="80" t="n">
        <x:v>1</x:v>
      </x:c>
      <x:c r="H19" s="80" t="n">
        <x:v>1</x:v>
      </x:c>
      <x:c r="I19" s="80" t="n">
        <x:v>1</x:v>
      </x:c>
      <x:c r="J19" s="80" t="n">
        <x:v>1</x:v>
      </x:c>
      <x:c r="K19" s="80" t="n">
        <x:v>1</x:v>
      </x:c>
      <x:c r="L19" s="80" t="n">
        <x:v>1</x:v>
      </x:c>
      <x:c r="M19" s="80" t="n">
        <x:v>1</x:v>
      </x:c>
      <x:c r="N19" s="80" t="n">
        <x:v>1</x:v>
      </x:c>
      <x:c r="O19" s="80" t="n">
        <x:v>1</x:v>
      </x:c>
      <x:c r="P19" s="80" t="n">
        <x:v>2</x:v>
      </x:c>
      <x:c r="Q19" s="80" t="n">
        <x:v>1</x:v>
      </x:c>
      <x:c r="R19" s="80" t="n">
        <x:v>1</x:v>
      </x:c>
      <x:c r="S19" s="80" t="n">
        <x:v>1</x:v>
      </x:c>
      <x:c r="T19" s="80" t="n">
        <x:v>1</x:v>
      </x:c>
      <x:c r="U19" s="80" t="n">
        <x:v>1</x:v>
      </x:c>
      <x:c r="V19" s="80" t="n">
        <x:v>1</x:v>
      </x:c>
      <x:c r="W19" s="80" t="n">
        <x:v>1</x:v>
      </x:c>
      <x:c r="X19" s="98" t="n">
        <x:f>AVERAGE(D19:W19)</x:f>
        <x:v>1.05</x:v>
      </x:c>
      <x:c r="Y19" s="104" t="n">
        <x:f>X19/5</x:f>
        <x:v>0.21000000000000002</x:v>
      </x:c>
      <x:c r="Z19" s="57" t="str">
        <x:v>Sangat baik</x:v>
      </x:c>
      <x:c r="AA19" s="57" t="str">
        <x:v>Sangat layak</x:v>
      </x:c>
      <x:c r="AB19" s="58" t="str">
        <x:v>Respons ke-1 dari 2; respons terakhir dipakai pada tabel Gabungan</x:v>
      </x:c>
    </x:row>
    <x:row r="20">
      <x:c r="A20" s="92" t="n">
        <x:v>17</x:v>
      </x:c>
      <x:c r="B20" s="57" t="str">
        <x:v>Arfiqul A'laa</x:v>
      </x:c>
      <x:c r="C20" s="57" t="str">
        <x:v>XI.5</x:v>
      </x:c>
      <x:c r="D20" s="80" t="n">
        <x:v>5</x:v>
      </x:c>
      <x:c r="E20" s="80" t="n">
        <x:v>5</x:v>
      </x:c>
      <x:c r="F20" s="80" t="n">
        <x:v>5</x:v>
      </x:c>
      <x:c r="G20" s="80" t="n">
        <x:v>5</x:v>
      </x:c>
      <x:c r="H20" s="80" t="n">
        <x:v>5</x:v>
      </x:c>
      <x:c r="I20" s="80" t="n">
        <x:v>5</x:v>
      </x:c>
      <x:c r="J20" s="80" t="n">
        <x:v>5</x:v>
      </x:c>
      <x:c r="K20" s="80" t="n">
        <x:v>5</x:v>
      </x:c>
      <x:c r="L20" s="80" t="n">
        <x:v>5</x:v>
      </x:c>
      <x:c r="M20" s="80" t="n">
        <x:v>5</x:v>
      </x:c>
      <x:c r="N20" s="80" t="n">
        <x:v>5</x:v>
      </x:c>
      <x:c r="O20" s="80" t="n">
        <x:v>5</x:v>
      </x:c>
      <x:c r="P20" s="80" t="n">
        <x:v>5</x:v>
      </x:c>
      <x:c r="Q20" s="80" t="n">
        <x:v>5</x:v>
      </x:c>
      <x:c r="R20" s="80" t="n">
        <x:v>5</x:v>
      </x:c>
      <x:c r="S20" s="80" t="n">
        <x:v>5</x:v>
      </x:c>
      <x:c r="T20" s="80" t="n">
        <x:v>5</x:v>
      </x:c>
      <x:c r="U20" s="80" t="n">
        <x:v>5</x:v>
      </x:c>
      <x:c r="V20" s="80" t="n">
        <x:v>5</x:v>
      </x:c>
      <x:c r="W20" s="80" t="n">
        <x:v>5</x:v>
      </x:c>
      <x:c r="X20" s="98" t="n">
        <x:f>AVERAGE(D20:W20)</x:f>
        <x:v>5</x:v>
      </x:c>
      <x:c r="Y20" s="104" t="n">
        <x:f>X20/5</x:f>
        <x:v>1</x:v>
      </x:c>
      <x:c r="Z20" s="57" t="str">
        <x:v>Sangat baik</x:v>
      </x:c>
      <x:c r="AA20" s="57" t="str">
        <x:v>Sangat layak</x:v>
      </x:c>
      <x:c r="AB20" s="58" t="str"/>
    </x:row>
    <x:row r="21">
      <x:c r="A21" s="92" t="n">
        <x:v>18</x:v>
      </x:c>
      <x:c r="B21" s="57" t="str">
        <x:v>MUH. Rifki Ramadhan</x:v>
      </x:c>
      <x:c r="C21" s="57" t="str">
        <x:v>XI.5</x:v>
      </x:c>
      <x:c r="D21" s="80" t="n">
        <x:v>4</x:v>
      </x:c>
      <x:c r="E21" s="80" t="n">
        <x:v>5</x:v>
      </x:c>
      <x:c r="F21" s="80" t="n">
        <x:v>4</x:v>
      </x:c>
      <x:c r="G21" s="80" t="n">
        <x:v>4</x:v>
      </x:c>
      <x:c r="H21" s="80" t="n">
        <x:v>3</x:v>
      </x:c>
      <x:c r="I21" s="80" t="n">
        <x:v>4</x:v>
      </x:c>
      <x:c r="J21" s="80" t="n">
        <x:v>4</x:v>
      </x:c>
      <x:c r="K21" s="80" t="n">
        <x:v>4</x:v>
      </x:c>
      <x:c r="L21" s="80" t="n">
        <x:v>4</x:v>
      </x:c>
      <x:c r="M21" s="80" t="n">
        <x:v>4</x:v>
      </x:c>
      <x:c r="N21" s="80" t="n">
        <x:v>4</x:v>
      </x:c>
      <x:c r="O21" s="80" t="n">
        <x:v>3</x:v>
      </x:c>
      <x:c r="P21" s="80" t="n">
        <x:v>2</x:v>
      </x:c>
      <x:c r="Q21" s="80" t="n">
        <x:v>2</x:v>
      </x:c>
      <x:c r="R21" s="80" t="n">
        <x:v>4</x:v>
      </x:c>
      <x:c r="S21" s="80" t="n">
        <x:v>2</x:v>
      </x:c>
      <x:c r="T21" s="80" t="n">
        <x:v>2</x:v>
      </x:c>
      <x:c r="U21" s="80" t="n">
        <x:v>4</x:v>
      </x:c>
      <x:c r="V21" s="80" t="n">
        <x:v>2</x:v>
      </x:c>
      <x:c r="W21" s="80" t="n">
        <x:v>3</x:v>
      </x:c>
      <x:c r="X21" s="98" t="n">
        <x:f>AVERAGE(D21:W21)</x:f>
        <x:v>3.4</x:v>
      </x:c>
      <x:c r="Y21" s="104" t="n">
        <x:f>X21/5</x:f>
        <x:v>0.6799999999999999</x:v>
      </x:c>
      <x:c r="Z21" s="57" t="str">
        <x:v>Cukup baik</x:v>
      </x:c>
      <x:c r="AA21" s="57" t="str">
        <x:v>Kurang layak</x:v>
      </x:c>
      <x:c r="AB21" s="58" t="str"/>
    </x:row>
    <x:row r="22">
      <x:c r="A22" s="92" t="n">
        <x:v>19</x:v>
      </x:c>
      <x:c r="B22" s="57" t="str">
        <x:v>Ahmad Farras Zhifran Hukdar</x:v>
      </x:c>
      <x:c r="C22" s="57" t="str">
        <x:v>XI.5</x:v>
      </x:c>
      <x:c r="D22" s="80" t="n">
        <x:v>5</x:v>
      </x:c>
      <x:c r="E22" s="80" t="n">
        <x:v>5</x:v>
      </x:c>
      <x:c r="F22" s="80" t="n">
        <x:v>5</x:v>
      </x:c>
      <x:c r="G22" s="80" t="n">
        <x:v>5</x:v>
      </x:c>
      <x:c r="H22" s="80" t="n">
        <x:v>4</x:v>
      </x:c>
      <x:c r="I22" s="80" t="n">
        <x:v>5</x:v>
      </x:c>
      <x:c r="J22" s="80" t="n">
        <x:v>4</x:v>
      </x:c>
      <x:c r="K22" s="80" t="n">
        <x:v>5</x:v>
      </x:c>
      <x:c r="L22" s="80" t="n">
        <x:v>5</x:v>
      </x:c>
      <x:c r="M22" s="80" t="n">
        <x:v>4</x:v>
      </x:c>
      <x:c r="N22" s="80" t="n">
        <x:v>5</x:v>
      </x:c>
      <x:c r="O22" s="80" t="n">
        <x:v>5</x:v>
      </x:c>
      <x:c r="P22" s="80" t="n">
        <x:v>5</x:v>
      </x:c>
      <x:c r="Q22" s="80" t="n">
        <x:v>5</x:v>
      </x:c>
      <x:c r="R22" s="80" t="n">
        <x:v>5</x:v>
      </x:c>
      <x:c r="S22" s="80" t="n">
        <x:v>5</x:v>
      </x:c>
      <x:c r="T22" s="80" t="n">
        <x:v>5</x:v>
      </x:c>
      <x:c r="U22" s="80" t="n">
        <x:v>5</x:v>
      </x:c>
      <x:c r="V22" s="80" t="n">
        <x:v>5</x:v>
      </x:c>
      <x:c r="W22" s="80" t="n">
        <x:v>4</x:v>
      </x:c>
      <x:c r="X22" s="98" t="n">
        <x:f>AVERAGE(D22:W22)</x:f>
        <x:v>4.8</x:v>
      </x:c>
      <x:c r="Y22" s="104" t="n">
        <x:f>X22/5</x:f>
        <x:v>0.96</x:v>
      </x:c>
      <x:c r="Z22" s="57" t="str">
        <x:v>Sangat baik</x:v>
      </x:c>
      <x:c r="AA22" s="57" t="str">
        <x:v>Sangat layak</x:v>
      </x:c>
      <x:c r="AB22" s="58" t="str"/>
    </x:row>
    <x:row r="23">
      <x:c r="A23" s="92" t="n">
        <x:v>20</x:v>
      </x:c>
      <x:c r="B23" s="57" t="str">
        <x:v>Andi Salsabila Putri</x:v>
      </x:c>
      <x:c r="C23" s="57" t="str">
        <x:v>XI.5</x:v>
      </x:c>
      <x:c r="D23" s="80" t="n">
        <x:v>4</x:v>
      </x:c>
      <x:c r="E23" s="80" t="n">
        <x:v>4</x:v>
      </x:c>
      <x:c r="F23" s="80" t="n">
        <x:v>4</x:v>
      </x:c>
      <x:c r="G23" s="80" t="n">
        <x:v>4</x:v>
      </x:c>
      <x:c r="H23" s="80" t="n">
        <x:v>5</x:v>
      </x:c>
      <x:c r="I23" s="80" t="n">
        <x:v>4</x:v>
      </x:c>
      <x:c r="J23" s="80" t="n">
        <x:v>4</x:v>
      </x:c>
      <x:c r="K23" s="80" t="n">
        <x:v>4</x:v>
      </x:c>
      <x:c r="L23" s="80" t="n">
        <x:v>4</x:v>
      </x:c>
      <x:c r="M23" s="80" t="n">
        <x:v>4</x:v>
      </x:c>
      <x:c r="N23" s="80" t="n">
        <x:v>4</x:v>
      </x:c>
      <x:c r="O23" s="80" t="n">
        <x:v>4</x:v>
      </x:c>
      <x:c r="P23" s="80" t="n">
        <x:v>4</x:v>
      </x:c>
      <x:c r="Q23" s="80" t="n">
        <x:v>4</x:v>
      </x:c>
      <x:c r="R23" s="80" t="n">
        <x:v>4</x:v>
      </x:c>
      <x:c r="S23" s="80" t="n">
        <x:v>4</x:v>
      </x:c>
      <x:c r="T23" s="80" t="n">
        <x:v>4</x:v>
      </x:c>
      <x:c r="U23" s="80" t="n">
        <x:v>4</x:v>
      </x:c>
      <x:c r="V23" s="80" t="n">
        <x:v>4</x:v>
      </x:c>
      <x:c r="W23" s="80" t="n">
        <x:v>4</x:v>
      </x:c>
      <x:c r="X23" s="98" t="n">
        <x:f>AVERAGE(D23:W23)</x:f>
        <x:v>4.05</x:v>
      </x:c>
      <x:c r="Y23" s="104" t="n">
        <x:f>X23/5</x:f>
        <x:v>0.8099999999999999</x:v>
      </x:c>
      <x:c r="Z23" s="57" t="str">
        <x:v>Baik</x:v>
      </x:c>
      <x:c r="AA23" s="57" t="str">
        <x:v>Layak</x:v>
      </x:c>
      <x:c r="AB23" s="58" t="str"/>
    </x:row>
    <x:row r="24">
      <x:c r="A24" s="92" t="n">
        <x:v>21</x:v>
      </x:c>
      <x:c r="B24" s="57" t="str">
        <x:v>Ahmad Hussein Rauf</x:v>
      </x:c>
      <x:c r="C24" s="57" t="str">
        <x:v>XI.5</x:v>
      </x:c>
      <x:c r="D24" s="80" t="n">
        <x:v>4</x:v>
      </x:c>
      <x:c r="E24" s="80" t="n">
        <x:v>4</x:v>
      </x:c>
      <x:c r="F24" s="80" t="n">
        <x:v>4</x:v>
      </x:c>
      <x:c r="G24" s="80" t="n">
        <x:v>4</x:v>
      </x:c>
      <x:c r="H24" s="80" t="n">
        <x:v>4</x:v>
      </x:c>
      <x:c r="I24" s="80" t="n">
        <x:v>4</x:v>
      </x:c>
      <x:c r="J24" s="80" t="n">
        <x:v>4</x:v>
      </x:c>
      <x:c r="K24" s="80" t="n">
        <x:v>4</x:v>
      </x:c>
      <x:c r="L24" s="80" t="n">
        <x:v>4</x:v>
      </x:c>
      <x:c r="M24" s="80" t="n">
        <x:v>4</x:v>
      </x:c>
      <x:c r="N24" s="80" t="n">
        <x:v>4</x:v>
      </x:c>
      <x:c r="O24" s="80" t="n">
        <x:v>3</x:v>
      </x:c>
      <x:c r="P24" s="80" t="n">
        <x:v>4</x:v>
      </x:c>
      <x:c r="Q24" s="80" t="n">
        <x:v>3</x:v>
      </x:c>
      <x:c r="R24" s="80" t="n">
        <x:v>4</x:v>
      </x:c>
      <x:c r="S24" s="80" t="n">
        <x:v>4</x:v>
      </x:c>
      <x:c r="T24" s="80" t="n">
        <x:v>4</x:v>
      </x:c>
      <x:c r="U24" s="80" t="n">
        <x:v>4</x:v>
      </x:c>
      <x:c r="V24" s="80" t="n">
        <x:v>4</x:v>
      </x:c>
      <x:c r="W24" s="80" t="n">
        <x:v>4</x:v>
      </x:c>
      <x:c r="X24" s="98" t="n">
        <x:f>AVERAGE(D24:W24)</x:f>
        <x:v>3.9</x:v>
      </x:c>
      <x:c r="Y24" s="104" t="n">
        <x:f>X24/5</x:f>
        <x:v>0.78</x:v>
      </x:c>
      <x:c r="Z24" s="57" t="str">
        <x:v>Cukup baik</x:v>
      </x:c>
      <x:c r="AA24" s="57" t="str">
        <x:v>Sangat layak</x:v>
      </x:c>
      <x:c r="AB24" s="58" t="str"/>
    </x:row>
    <x:row r="25">
      <x:c r="A25" s="92" t="n">
        <x:v>22</x:v>
      </x:c>
      <x:c r="B25" s="57" t="str">
        <x:v>Jilan Nazihah Bagus</x:v>
      </x:c>
      <x:c r="C25" s="57" t="str">
        <x:v>XI.5</x:v>
      </x:c>
      <x:c r="D25" s="80" t="n">
        <x:v>5</x:v>
      </x:c>
      <x:c r="E25" s="80" t="n">
        <x:v>4</x:v>
      </x:c>
      <x:c r="F25" s="80" t="n">
        <x:v>3</x:v>
      </x:c>
      <x:c r="G25" s="80" t="n">
        <x:v>4</x:v>
      </x:c>
      <x:c r="H25" s="80" t="n">
        <x:v>3</x:v>
      </x:c>
      <x:c r="I25" s="80" t="n">
        <x:v>5</x:v>
      </x:c>
      <x:c r="J25" s="80" t="n">
        <x:v>5</x:v>
      </x:c>
      <x:c r="K25" s="80" t="n">
        <x:v>4</x:v>
      </x:c>
      <x:c r="L25" s="80" t="n">
        <x:v>2</x:v>
      </x:c>
      <x:c r="M25" s="80" t="n">
        <x:v>3</x:v>
      </x:c>
      <x:c r="N25" s="80" t="n">
        <x:v>5</x:v>
      </x:c>
      <x:c r="O25" s="80" t="n">
        <x:v>3</x:v>
      </x:c>
      <x:c r="P25" s="80" t="n">
        <x:v>3</x:v>
      </x:c>
      <x:c r="Q25" s="80" t="n">
        <x:v>5</x:v>
      </x:c>
      <x:c r="R25" s="80" t="n">
        <x:v>4</x:v>
      </x:c>
      <x:c r="S25" s="80" t="n">
        <x:v>5</x:v>
      </x:c>
      <x:c r="T25" s="80" t="n">
        <x:v>5</x:v>
      </x:c>
      <x:c r="U25" s="80" t="n">
        <x:v>5</x:v>
      </x:c>
      <x:c r="V25" s="80" t="n">
        <x:v>5</x:v>
      </x:c>
      <x:c r="W25" s="80" t="n">
        <x:v>4</x:v>
      </x:c>
      <x:c r="X25" s="98" t="n">
        <x:f>AVERAGE(D25:W25)</x:f>
        <x:v>4.1</x:v>
      </x:c>
      <x:c r="Y25" s="104" t="n">
        <x:f>X25/5</x:f>
        <x:v>0.82</x:v>
      </x:c>
      <x:c r="Z25" s="57" t="str">
        <x:v>Sangat baik</x:v>
      </x:c>
      <x:c r="AA25" s="57" t="str">
        <x:v>Sangat layak</x:v>
      </x:c>
      <x:c r="AB25" s="58" t="str"/>
    </x:row>
    <x:row r="26">
      <x:c r="A26" s="92" t="n">
        <x:v>23</x:v>
      </x:c>
      <x:c r="B26" s="57" t="str">
        <x:v>Nur Azizah Cinta Queenita Titian</x:v>
      </x:c>
      <x:c r="C26" s="57" t="str">
        <x:v>XI.5</x:v>
      </x:c>
      <x:c r="D26" s="80" t="n">
        <x:v>5</x:v>
      </x:c>
      <x:c r="E26" s="80" t="n">
        <x:v>5</x:v>
      </x:c>
      <x:c r="F26" s="80" t="n">
        <x:v>4</x:v>
      </x:c>
      <x:c r="G26" s="80" t="n">
        <x:v>4</x:v>
      </x:c>
      <x:c r="H26" s="80" t="n">
        <x:v>5</x:v>
      </x:c>
      <x:c r="I26" s="80" t="n">
        <x:v>5</x:v>
      </x:c>
      <x:c r="J26" s="80" t="n">
        <x:v>4</x:v>
      </x:c>
      <x:c r="K26" s="80" t="n">
        <x:v>4</x:v>
      </x:c>
      <x:c r="L26" s="80" t="n">
        <x:v>4</x:v>
      </x:c>
      <x:c r="M26" s="80" t="n">
        <x:v>4</x:v>
      </x:c>
      <x:c r="N26" s="80" t="n">
        <x:v>4</x:v>
      </x:c>
      <x:c r="O26" s="80" t="n">
        <x:v>3</x:v>
      </x:c>
      <x:c r="P26" s="80" t="n">
        <x:v>5</x:v>
      </x:c>
      <x:c r="Q26" s="80" t="n">
        <x:v>4</x:v>
      </x:c>
      <x:c r="R26" s="80" t="n">
        <x:v>4</x:v>
      </x:c>
      <x:c r="S26" s="80" t="n">
        <x:v>4</x:v>
      </x:c>
      <x:c r="T26" s="80" t="n">
        <x:v>4</x:v>
      </x:c>
      <x:c r="U26" s="80" t="n">
        <x:v>4</x:v>
      </x:c>
      <x:c r="V26" s="80" t="n">
        <x:v>5</x:v>
      </x:c>
      <x:c r="W26" s="80" t="n">
        <x:v>5</x:v>
      </x:c>
      <x:c r="X26" s="98" t="n">
        <x:f>AVERAGE(D26:W26)</x:f>
        <x:v>4.3</x:v>
      </x:c>
      <x:c r="Y26" s="104" t="n">
        <x:f>X26/5</x:f>
        <x:v>0.86</x:v>
      </x:c>
      <x:c r="Z26" s="57" t="str">
        <x:v>Sangat baik</x:v>
      </x:c>
      <x:c r="AA26" s="57" t="str">
        <x:v>Sangat layak</x:v>
      </x:c>
      <x:c r="AB26" s="58" t="str"/>
    </x:row>
    <x:row r="27">
      <x:c r="A27" s="92" t="n">
        <x:v>24</x:v>
      </x:c>
      <x:c r="B27" s="57" t="str">
        <x:v>Muhammad Haerul</x:v>
      </x:c>
      <x:c r="C27" s="57" t="str">
        <x:v>XI.5</x:v>
      </x:c>
      <x:c r="D27" s="80" t="n">
        <x:v>5</x:v>
      </x:c>
      <x:c r="E27" s="80" t="n">
        <x:v>5</x:v>
      </x:c>
      <x:c r="F27" s="80" t="n">
        <x:v>5</x:v>
      </x:c>
      <x:c r="G27" s="80" t="n">
        <x:v>5</x:v>
      </x:c>
      <x:c r="H27" s="80" t="n">
        <x:v>4</x:v>
      </x:c>
      <x:c r="I27" s="80" t="n">
        <x:v>5</x:v>
      </x:c>
      <x:c r="J27" s="80" t="n">
        <x:v>5</x:v>
      </x:c>
      <x:c r="K27" s="80" t="n">
        <x:v>5</x:v>
      </x:c>
      <x:c r="L27" s="80" t="n">
        <x:v>5</x:v>
      </x:c>
      <x:c r="M27" s="80" t="n">
        <x:v>5</x:v>
      </x:c>
      <x:c r="N27" s="80" t="n">
        <x:v>5</x:v>
      </x:c>
      <x:c r="O27" s="80" t="n">
        <x:v>5</x:v>
      </x:c>
      <x:c r="P27" s="80" t="n">
        <x:v>4</x:v>
      </x:c>
      <x:c r="Q27" s="80" t="n">
        <x:v>5</x:v>
      </x:c>
      <x:c r="R27" s="80" t="n">
        <x:v>5</x:v>
      </x:c>
      <x:c r="S27" s="80" t="n">
        <x:v>5</x:v>
      </x:c>
      <x:c r="T27" s="80" t="n">
        <x:v>5</x:v>
      </x:c>
      <x:c r="U27" s="80" t="n">
        <x:v>5</x:v>
      </x:c>
      <x:c r="V27" s="80" t="n">
        <x:v>5</x:v>
      </x:c>
      <x:c r="W27" s="80" t="n">
        <x:v>4</x:v>
      </x:c>
      <x:c r="X27" s="98" t="n">
        <x:f>AVERAGE(D27:W27)</x:f>
        <x:v>4.85</x:v>
      </x:c>
      <x:c r="Y27" s="104" t="n">
        <x:f>X27/5</x:f>
        <x:v>0.97</x:v>
      </x:c>
      <x:c r="Z27" s="57" t="str">
        <x:v>Sangat baik</x:v>
      </x:c>
      <x:c r="AA27" s="57" t="str">
        <x:v>Sangat layak</x:v>
      </x:c>
      <x:c r="AB27" s="58" t="str"/>
    </x:row>
    <x:row r="28">
      <x:c r="A28" s="92" t="n">
        <x:v>25</x:v>
      </x:c>
      <x:c r="B28" s="57" t="str">
        <x:v>Salsabila Nurfakhira</x:v>
      </x:c>
      <x:c r="C28" s="57" t="str">
        <x:v>XI.5</x:v>
      </x:c>
      <x:c r="D28" s="80" t="n">
        <x:v>4</x:v>
      </x:c>
      <x:c r="E28" s="80" t="n">
        <x:v>5</x:v>
      </x:c>
      <x:c r="F28" s="80" t="n">
        <x:v>4</x:v>
      </x:c>
      <x:c r="G28" s="80" t="n">
        <x:v>5</x:v>
      </x:c>
      <x:c r="H28" s="80" t="n">
        <x:v>5</x:v>
      </x:c>
      <x:c r="I28" s="80" t="n">
        <x:v>5</x:v>
      </x:c>
      <x:c r="J28" s="80" t="n">
        <x:v>5</x:v>
      </x:c>
      <x:c r="K28" s="80" t="n">
        <x:v>5</x:v>
      </x:c>
      <x:c r="L28" s="80" t="n">
        <x:v>5</x:v>
      </x:c>
      <x:c r="M28" s="80" t="n">
        <x:v>5</x:v>
      </x:c>
      <x:c r="N28" s="80" t="n">
        <x:v>5</x:v>
      </x:c>
      <x:c r="O28" s="80" t="n">
        <x:v>4</x:v>
      </x:c>
      <x:c r="P28" s="80" t="n">
        <x:v>3</x:v>
      </x:c>
      <x:c r="Q28" s="80" t="n">
        <x:v>5</x:v>
      </x:c>
      <x:c r="R28" s="80" t="n">
        <x:v>5</x:v>
      </x:c>
      <x:c r="S28" s="80" t="n">
        <x:v>4</x:v>
      </x:c>
      <x:c r="T28" s="80" t="n">
        <x:v>4</x:v>
      </x:c>
      <x:c r="U28" s="80" t="n">
        <x:v>5</x:v>
      </x:c>
      <x:c r="V28" s="80" t="n">
        <x:v>5</x:v>
      </x:c>
      <x:c r="W28" s="80" t="n">
        <x:v>5</x:v>
      </x:c>
      <x:c r="X28" s="98" t="n">
        <x:f>AVERAGE(D28:W28)</x:f>
        <x:v>4.65</x:v>
      </x:c>
      <x:c r="Y28" s="104" t="n">
        <x:f>X28/5</x:f>
        <x:v>0.93</x:v>
      </x:c>
      <x:c r="Z28" s="57" t="str">
        <x:v>Sangat baik</x:v>
      </x:c>
      <x:c r="AA28" s="57" t="str">
        <x:v>Sangat layak</x:v>
      </x:c>
      <x:c r="AB28" s="58" t="str"/>
    </x:row>
    <x:row r="29">
      <x:c r="A29" s="92" t="n">
        <x:v>26</x:v>
      </x:c>
      <x:c r="B29" s="57" t="str">
        <x:v>Tayza Dwi Sulestari</x:v>
      </x:c>
      <x:c r="C29" s="57" t="str">
        <x:v>XI.5</x:v>
      </x:c>
      <x:c r="D29" s="80" t="n">
        <x:v>4</x:v>
      </x:c>
      <x:c r="E29" s="80" t="n">
        <x:v>4</x:v>
      </x:c>
      <x:c r="F29" s="80" t="n">
        <x:v>4</x:v>
      </x:c>
      <x:c r="G29" s="80" t="n">
        <x:v>4</x:v>
      </x:c>
      <x:c r="H29" s="80" t="n">
        <x:v>4</x:v>
      </x:c>
      <x:c r="I29" s="80" t="n">
        <x:v>4</x:v>
      </x:c>
      <x:c r="J29" s="80" t="n">
        <x:v>4</x:v>
      </x:c>
      <x:c r="K29" s="80" t="n">
        <x:v>4</x:v>
      </x:c>
      <x:c r="L29" s="80" t="n">
        <x:v>4</x:v>
      </x:c>
      <x:c r="M29" s="80" t="n">
        <x:v>4</x:v>
      </x:c>
      <x:c r="N29" s="80" t="n">
        <x:v>4</x:v>
      </x:c>
      <x:c r="O29" s="80" t="n">
        <x:v>4</x:v>
      </x:c>
      <x:c r="P29" s="80" t="n">
        <x:v>4</x:v>
      </x:c>
      <x:c r="Q29" s="80" t="n">
        <x:v>4</x:v>
      </x:c>
      <x:c r="R29" s="80" t="n">
        <x:v>4</x:v>
      </x:c>
      <x:c r="S29" s="80" t="n">
        <x:v>4</x:v>
      </x:c>
      <x:c r="T29" s="80" t="n">
        <x:v>4</x:v>
      </x:c>
      <x:c r="U29" s="80" t="n">
        <x:v>4</x:v>
      </x:c>
      <x:c r="V29" s="80" t="n">
        <x:v>4</x:v>
      </x:c>
      <x:c r="W29" s="80" t="n">
        <x:v>4</x:v>
      </x:c>
      <x:c r="X29" s="98" t="n">
        <x:f>AVERAGE(D29:W29)</x:f>
        <x:v>4</x:v>
      </x:c>
      <x:c r="Y29" s="104" t="n">
        <x:f>X29/5</x:f>
        <x:v>0.8</x:v>
      </x:c>
      <x:c r="Z29" s="57" t="str">
        <x:v>Baik</x:v>
      </x:c>
      <x:c r="AA29" s="57" t="str">
        <x:v>Layak</x:v>
      </x:c>
      <x:c r="AB29" s="58" t="str"/>
    </x:row>
    <x:row r="30">
      <x:c r="A30" s="92" t="n">
        <x:v>27</x:v>
      </x:c>
      <x:c r="B30" s="57" t="str">
        <x:v>MUH. Fahri Ramadhan</x:v>
      </x:c>
      <x:c r="C30" s="57" t="str">
        <x:v>XI.5</x:v>
      </x:c>
      <x:c r="D30" s="80" t="n">
        <x:v>4</x:v>
      </x:c>
      <x:c r="E30" s="80" t="n">
        <x:v>5</x:v>
      </x:c>
      <x:c r="F30" s="80" t="n">
        <x:v>5</x:v>
      </x:c>
      <x:c r="G30" s="80" t="n">
        <x:v>5</x:v>
      </x:c>
      <x:c r="H30" s="80" t="n">
        <x:v>4</x:v>
      </x:c>
      <x:c r="I30" s="80" t="n">
        <x:v>5</x:v>
      </x:c>
      <x:c r="J30" s="80" t="n">
        <x:v>4</x:v>
      </x:c>
      <x:c r="K30" s="80" t="n">
        <x:v>4</x:v>
      </x:c>
      <x:c r="L30" s="80" t="n">
        <x:v>5</x:v>
      </x:c>
      <x:c r="M30" s="80" t="n">
        <x:v>4</x:v>
      </x:c>
      <x:c r="N30" s="80" t="n">
        <x:v>4</x:v>
      </x:c>
      <x:c r="O30" s="80" t="n">
        <x:v>4</x:v>
      </x:c>
      <x:c r="P30" s="80" t="n">
        <x:v>4</x:v>
      </x:c>
      <x:c r="Q30" s="80" t="n">
        <x:v>4</x:v>
      </x:c>
      <x:c r="R30" s="80" t="n">
        <x:v>4</x:v>
      </x:c>
      <x:c r="S30" s="80" t="n">
        <x:v>4</x:v>
      </x:c>
      <x:c r="T30" s="80" t="n">
        <x:v>4</x:v>
      </x:c>
      <x:c r="U30" s="80" t="n">
        <x:v>4</x:v>
      </x:c>
      <x:c r="V30" s="80" t="n">
        <x:v>5</x:v>
      </x:c>
      <x:c r="W30" s="80" t="n">
        <x:v>4</x:v>
      </x:c>
      <x:c r="X30" s="98" t="n">
        <x:f>AVERAGE(D30:W30)</x:f>
        <x:v>4.3</x:v>
      </x:c>
      <x:c r="Y30" s="104" t="n">
        <x:f>X30/5</x:f>
        <x:v>0.86</x:v>
      </x:c>
      <x:c r="Z30" s="57" t="str">
        <x:v>Baik</x:v>
      </x:c>
      <x:c r="AA30" s="57" t="str">
        <x:v>Sangat layak</x:v>
      </x:c>
      <x:c r="AB30" s="58" t="str"/>
    </x:row>
    <x:row r="31">
      <x:c r="A31" s="92" t="n">
        <x:v>28</x:v>
      </x:c>
      <x:c r="B31" s="57" t="str">
        <x:v>Siti Nurfadillah</x:v>
      </x:c>
      <x:c r="C31" s="57" t="str">
        <x:v>XI.5</x:v>
      </x:c>
      <x:c r="D31" s="80" t="n">
        <x:v>4</x:v>
      </x:c>
      <x:c r="E31" s="80" t="n">
        <x:v>5</x:v>
      </x:c>
      <x:c r="F31" s="80" t="n">
        <x:v>5</x:v>
      </x:c>
      <x:c r="G31" s="80" t="n">
        <x:v>5</x:v>
      </x:c>
      <x:c r="H31" s="80" t="n">
        <x:v>5</x:v>
      </x:c>
      <x:c r="I31" s="80" t="n">
        <x:v>5</x:v>
      </x:c>
      <x:c r="J31" s="80" t="n">
        <x:v>4</x:v>
      </x:c>
      <x:c r="K31" s="80" t="n">
        <x:v>3</x:v>
      </x:c>
      <x:c r="L31" s="80" t="n">
        <x:v>5</x:v>
      </x:c>
      <x:c r="M31" s="80" t="n">
        <x:v>5</x:v>
      </x:c>
      <x:c r="N31" s="80" t="n">
        <x:v>4</x:v>
      </x:c>
      <x:c r="O31" s="80" t="n">
        <x:v>3</x:v>
      </x:c>
      <x:c r="P31" s="80" t="n">
        <x:v>5</x:v>
      </x:c>
      <x:c r="Q31" s="80" t="n">
        <x:v>5</x:v>
      </x:c>
      <x:c r="R31" s="80" t="n">
        <x:v>4</x:v>
      </x:c>
      <x:c r="S31" s="80" t="n">
        <x:v>4</x:v>
      </x:c>
      <x:c r="T31" s="80" t="n">
        <x:v>4</x:v>
      </x:c>
      <x:c r="U31" s="80" t="n">
        <x:v>4</x:v>
      </x:c>
      <x:c r="V31" s="80" t="n">
        <x:v>5</x:v>
      </x:c>
      <x:c r="W31" s="80" t="n">
        <x:v>5</x:v>
      </x:c>
      <x:c r="X31" s="98" t="n">
        <x:f>AVERAGE(D31:W31)</x:f>
        <x:v>4.45</x:v>
      </x:c>
      <x:c r="Y31" s="104" t="n">
        <x:f>X31/5</x:f>
        <x:v>0.89</x:v>
      </x:c>
      <x:c r="Z31" s="57" t="str">
        <x:v>Sangat baik</x:v>
      </x:c>
      <x:c r="AA31" s="57" t="str">
        <x:v>Layak</x:v>
      </x:c>
      <x:c r="AB31" s="58" t="str"/>
    </x:row>
    <x:row r="32">
      <x:c r="A32" s="92" t="n">
        <x:v>29</x:v>
      </x:c>
      <x:c r="B32" s="57" t="str">
        <x:v>Andi Tenri Zakirah</x:v>
      </x:c>
      <x:c r="C32" s="57" t="str">
        <x:v>XI.5</x:v>
      </x:c>
      <x:c r="D32" s="80" t="n">
        <x:v>5</x:v>
      </x:c>
      <x:c r="E32" s="80" t="n">
        <x:v>5</x:v>
      </x:c>
      <x:c r="F32" s="80" t="n">
        <x:v>5</x:v>
      </x:c>
      <x:c r="G32" s="80" t="n">
        <x:v>5</x:v>
      </x:c>
      <x:c r="H32" s="80" t="n">
        <x:v>5</x:v>
      </x:c>
      <x:c r="I32" s="80" t="n">
        <x:v>5</x:v>
      </x:c>
      <x:c r="J32" s="80" t="n">
        <x:v>5</x:v>
      </x:c>
      <x:c r="K32" s="80" t="n">
        <x:v>5</x:v>
      </x:c>
      <x:c r="L32" s="80" t="n">
        <x:v>5</x:v>
      </x:c>
      <x:c r="M32" s="80" t="n">
        <x:v>5</x:v>
      </x:c>
      <x:c r="N32" s="80" t="n">
        <x:v>5</x:v>
      </x:c>
      <x:c r="O32" s="80" t="n">
        <x:v>5</x:v>
      </x:c>
      <x:c r="P32" s="80" t="n">
        <x:v>5</x:v>
      </x:c>
      <x:c r="Q32" s="80" t="n">
        <x:v>5</x:v>
      </x:c>
      <x:c r="R32" s="80" t="n">
        <x:v>5</x:v>
      </x:c>
      <x:c r="S32" s="80" t="n">
        <x:v>5</x:v>
      </x:c>
      <x:c r="T32" s="80" t="n">
        <x:v>5</x:v>
      </x:c>
      <x:c r="U32" s="80" t="n">
        <x:v>5</x:v>
      </x:c>
      <x:c r="V32" s="80" t="n">
        <x:v>5</x:v>
      </x:c>
      <x:c r="W32" s="80" t="n">
        <x:v>2</x:v>
      </x:c>
      <x:c r="X32" s="98" t="n">
        <x:f>AVERAGE(D32:W32)</x:f>
        <x:v>4.85</x:v>
      </x:c>
      <x:c r="Y32" s="104" t="n">
        <x:f>X32/5</x:f>
        <x:v>0.97</x:v>
      </x:c>
      <x:c r="Z32" s="57" t="str">
        <x:v>Tidak baik</x:v>
      </x:c>
      <x:c r="AA32" s="57" t="str">
        <x:v>Layak</x:v>
      </x:c>
      <x:c r="AB32" s="58" t="str"/>
    </x:row>
    <x:row r="33">
      <x:c r="A33" s="92" t="n">
        <x:v>30</x:v>
      </x:c>
      <x:c r="B33" s="57" t="str">
        <x:v>Muh. Fadli</x:v>
      </x:c>
      <x:c r="C33" s="57" t="str">
        <x:v>XI.5</x:v>
      </x:c>
      <x:c r="D33" s="80" t="n">
        <x:v>5</x:v>
      </x:c>
      <x:c r="E33" s="80" t="n">
        <x:v>4</x:v>
      </x:c>
      <x:c r="F33" s="80" t="n">
        <x:v>4</x:v>
      </x:c>
      <x:c r="G33" s="80" t="n">
        <x:v>4</x:v>
      </x:c>
      <x:c r="H33" s="80" t="n">
        <x:v>4</x:v>
      </x:c>
      <x:c r="I33" s="80" t="n">
        <x:v>5</x:v>
      </x:c>
      <x:c r="J33" s="80" t="n">
        <x:v>5</x:v>
      </x:c>
      <x:c r="K33" s="80" t="n">
        <x:v>4</x:v>
      </x:c>
      <x:c r="L33" s="80" t="n">
        <x:v>5</x:v>
      </x:c>
      <x:c r="M33" s="80" t="n">
        <x:v>5</x:v>
      </x:c>
      <x:c r="N33" s="80" t="n">
        <x:v>5</x:v>
      </x:c>
      <x:c r="O33" s="80" t="n">
        <x:v>5</x:v>
      </x:c>
      <x:c r="P33" s="80" t="n">
        <x:v>4</x:v>
      </x:c>
      <x:c r="Q33" s="80" t="n">
        <x:v>4</x:v>
      </x:c>
      <x:c r="R33" s="80" t="n">
        <x:v>5</x:v>
      </x:c>
      <x:c r="S33" s="80" t="n">
        <x:v>5</x:v>
      </x:c>
      <x:c r="T33" s="80" t="n">
        <x:v>4</x:v>
      </x:c>
      <x:c r="U33" s="80" t="n">
        <x:v>4</x:v>
      </x:c>
      <x:c r="V33" s="80" t="n">
        <x:v>5</x:v>
      </x:c>
      <x:c r="W33" s="80" t="n">
        <x:v>4</x:v>
      </x:c>
      <x:c r="X33" s="98" t="n">
        <x:f>AVERAGE(D33:W33)</x:f>
        <x:v>4.5</x:v>
      </x:c>
      <x:c r="Y33" s="104" t="n">
        <x:f>X33/5</x:f>
        <x:v>0.9</x:v>
      </x:c>
      <x:c r="Z33" s="57" t="str">
        <x:v>Baik</x:v>
      </x:c>
      <x:c r="AA33" s="57" t="str">
        <x:v>Sangat layak</x:v>
      </x:c>
      <x:c r="AB33" s="58" t="str"/>
    </x:row>
    <x:row r="34">
      <x:c r="A34" s="92" t="n">
        <x:v>31</x:v>
      </x:c>
      <x:c r="B34" s="57" t="str">
        <x:v>Muh Alfarel Juliansyah Husmar</x:v>
      </x:c>
      <x:c r="C34" s="57" t="str">
        <x:v>XI.5</x:v>
      </x:c>
      <x:c r="D34" s="80" t="n">
        <x:v>5</x:v>
      </x:c>
      <x:c r="E34" s="80" t="n">
        <x:v>5</x:v>
      </x:c>
      <x:c r="F34" s="80" t="n">
        <x:v>5</x:v>
      </x:c>
      <x:c r="G34" s="80" t="n">
        <x:v>5</x:v>
      </x:c>
      <x:c r="H34" s="80" t="n">
        <x:v>5</x:v>
      </x:c>
      <x:c r="I34" s="80" t="n">
        <x:v>5</x:v>
      </x:c>
      <x:c r="J34" s="80" t="n">
        <x:v>5</x:v>
      </x:c>
      <x:c r="K34" s="80" t="n">
        <x:v>5</x:v>
      </x:c>
      <x:c r="L34" s="80" t="n">
        <x:v>5</x:v>
      </x:c>
      <x:c r="M34" s="80" t="n">
        <x:v>5</x:v>
      </x:c>
      <x:c r="N34" s="80" t="n">
        <x:v>5</x:v>
      </x:c>
      <x:c r="O34" s="80" t="n">
        <x:v>5</x:v>
      </x:c>
      <x:c r="P34" s="80" t="n">
        <x:v>5</x:v>
      </x:c>
      <x:c r="Q34" s="80" t="n">
        <x:v>5</x:v>
      </x:c>
      <x:c r="R34" s="80" t="n">
        <x:v>5</x:v>
      </x:c>
      <x:c r="S34" s="80" t="n">
        <x:v>5</x:v>
      </x:c>
      <x:c r="T34" s="80" t="n">
        <x:v>5</x:v>
      </x:c>
      <x:c r="U34" s="80" t="n">
        <x:v>5</x:v>
      </x:c>
      <x:c r="V34" s="80" t="n">
        <x:v>5</x:v>
      </x:c>
      <x:c r="W34" s="80" t="n">
        <x:v>5</x:v>
      </x:c>
      <x:c r="X34" s="98" t="n">
        <x:f>AVERAGE(D34:W34)</x:f>
        <x:v>5</x:v>
      </x:c>
      <x:c r="Y34" s="104" t="n">
        <x:f>X34/5</x:f>
        <x:v>1</x:v>
      </x:c>
      <x:c r="Z34" s="57" t="str">
        <x:v>Sangat baik</x:v>
      </x:c>
      <x:c r="AA34" s="57" t="str">
        <x:v>Sangat layak</x:v>
      </x:c>
      <x:c r="AB34" s="58" t="str"/>
    </x:row>
    <x:row r="35">
      <x:c r="A35" s="92" t="n">
        <x:v>32</x:v>
      </x:c>
      <x:c r="B35" s="57" t="str">
        <x:v>Fatihah Amalia</x:v>
      </x:c>
      <x:c r="C35" s="57" t="str">
        <x:v>XI.5</x:v>
      </x:c>
      <x:c r="D35" s="80" t="n">
        <x:v>5</x:v>
      </x:c>
      <x:c r="E35" s="80" t="n">
        <x:v>5</x:v>
      </x:c>
      <x:c r="F35" s="80" t="n">
        <x:v>4</x:v>
      </x:c>
      <x:c r="G35" s="80" t="n">
        <x:v>3</x:v>
      </x:c>
      <x:c r="H35" s="80" t="n">
        <x:v>4</x:v>
      </x:c>
      <x:c r="I35" s="80" t="n">
        <x:v>5</x:v>
      </x:c>
      <x:c r="J35" s="80" t="n">
        <x:v>5</x:v>
      </x:c>
      <x:c r="K35" s="80" t="n">
        <x:v>4</x:v>
      </x:c>
      <x:c r="L35" s="80" t="n">
        <x:v>5</x:v>
      </x:c>
      <x:c r="M35" s="80" t="n">
        <x:v>3</x:v>
      </x:c>
      <x:c r="N35" s="80" t="n">
        <x:v>3</x:v>
      </x:c>
      <x:c r="O35" s="80" t="n">
        <x:v>4</x:v>
      </x:c>
      <x:c r="P35" s="80" t="n">
        <x:v>5</x:v>
      </x:c>
      <x:c r="Q35" s="80" t="n">
        <x:v>2</x:v>
      </x:c>
      <x:c r="R35" s="80" t="n">
        <x:v>2</x:v>
      </x:c>
      <x:c r="S35" s="80" t="n">
        <x:v>4</x:v>
      </x:c>
      <x:c r="T35" s="80" t="n">
        <x:v>5</x:v>
      </x:c>
      <x:c r="U35" s="80" t="n">
        <x:v>5</x:v>
      </x:c>
      <x:c r="V35" s="80" t="n">
        <x:v>5</x:v>
      </x:c>
      <x:c r="W35" s="80" t="n">
        <x:v>5</x:v>
      </x:c>
      <x:c r="X35" s="98" t="n">
        <x:f>AVERAGE(D35:W35)</x:f>
        <x:v>4.15</x:v>
      </x:c>
      <x:c r="Y35" s="104" t="n">
        <x:f>X35/5</x:f>
        <x:v>0.8300000000000001</x:v>
      </x:c>
      <x:c r="Z35" s="57" t="str">
        <x:v>Baik</x:v>
      </x:c>
      <x:c r="AA35" s="57" t="str">
        <x:v>Sangat layak</x:v>
      </x:c>
      <x:c r="AB35" s="58" t="str"/>
    </x:row>
    <x:row r="36">
      <x:c r="A36" s="92" t="n">
        <x:v>33</x:v>
      </x:c>
      <x:c r="B36" s="57" t="str">
        <x:v>Chiquita Aurelia Wiral</x:v>
      </x:c>
      <x:c r="C36" s="57" t="str">
        <x:v>XI.5</x:v>
      </x:c>
      <x:c r="D36" s="80" t="n">
        <x:v>5</x:v>
      </x:c>
      <x:c r="E36" s="80" t="n">
        <x:v>5</x:v>
      </x:c>
      <x:c r="F36" s="80" t="n">
        <x:v>5</x:v>
      </x:c>
      <x:c r="G36" s="80" t="n">
        <x:v>5</x:v>
      </x:c>
      <x:c r="H36" s="80" t="n">
        <x:v>5</x:v>
      </x:c>
      <x:c r="I36" s="80" t="n">
        <x:v>5</x:v>
      </x:c>
      <x:c r="J36" s="80" t="n">
        <x:v>5</x:v>
      </x:c>
      <x:c r="K36" s="80" t="n">
        <x:v>5</x:v>
      </x:c>
      <x:c r="L36" s="80" t="n">
        <x:v>5</x:v>
      </x:c>
      <x:c r="M36" s="80" t="n">
        <x:v>5</x:v>
      </x:c>
      <x:c r="N36" s="80" t="n">
        <x:v>5</x:v>
      </x:c>
      <x:c r="O36" s="80" t="n">
        <x:v>5</x:v>
      </x:c>
      <x:c r="P36" s="80" t="n">
        <x:v>5</x:v>
      </x:c>
      <x:c r="Q36" s="80" t="n">
        <x:v>5</x:v>
      </x:c>
      <x:c r="R36" s="80" t="n">
        <x:v>5</x:v>
      </x:c>
      <x:c r="S36" s="80" t="n">
        <x:v>5</x:v>
      </x:c>
      <x:c r="T36" s="80" t="n">
        <x:v>5</x:v>
      </x:c>
      <x:c r="U36" s="80" t="n">
        <x:v>5</x:v>
      </x:c>
      <x:c r="V36" s="80" t="n">
        <x:v>5</x:v>
      </x:c>
      <x:c r="W36" s="80" t="n">
        <x:v>5</x:v>
      </x:c>
      <x:c r="X36" s="98" t="n">
        <x:f>AVERAGE(D36:W36)</x:f>
        <x:v>5</x:v>
      </x:c>
      <x:c r="Y36" s="104" t="n">
        <x:f>X36/5</x:f>
        <x:v>1</x:v>
      </x:c>
      <x:c r="Z36" s="57" t="str">
        <x:v>Sangat baik</x:v>
      </x:c>
      <x:c r="AA36" s="57" t="str">
        <x:v>Sangat layak</x:v>
      </x:c>
      <x:c r="AB36" s="58" t="str">
        <x:v>Respons ke-2 dari 2; respons terakhir dipakai pada tabel Gabungan</x:v>
      </x:c>
    </x:row>
    <x:row r="37">
      <x:c r="A37" s="92" t="n">
        <x:v>34</x:v>
      </x:c>
      <x:c r="B37" s="57" t="str">
        <x:v>Ibtisam Uzma Khumaira</x:v>
      </x:c>
      <x:c r="C37" s="57" t="str">
        <x:v>XI.5</x:v>
      </x:c>
      <x:c r="D37" s="80" t="n">
        <x:v>5</x:v>
      </x:c>
      <x:c r="E37" s="80" t="n">
        <x:v>5</x:v>
      </x:c>
      <x:c r="F37" s="80" t="n">
        <x:v>5</x:v>
      </x:c>
      <x:c r="G37" s="80" t="n">
        <x:v>5</x:v>
      </x:c>
      <x:c r="H37" s="80" t="n">
        <x:v>5</x:v>
      </x:c>
      <x:c r="I37" s="80" t="n">
        <x:v>5</x:v>
      </x:c>
      <x:c r="J37" s="80" t="n">
        <x:v>5</x:v>
      </x:c>
      <x:c r="K37" s="80" t="n">
        <x:v>5</x:v>
      </x:c>
      <x:c r="L37" s="80" t="n">
        <x:v>5</x:v>
      </x:c>
      <x:c r="M37" s="80" t="n">
        <x:v>5</x:v>
      </x:c>
      <x:c r="N37" s="80" t="n">
        <x:v>5</x:v>
      </x:c>
      <x:c r="O37" s="80" t="n">
        <x:v>5</x:v>
      </x:c>
      <x:c r="P37" s="80" t="n">
        <x:v>5</x:v>
      </x:c>
      <x:c r="Q37" s="80" t="n">
        <x:v>5</x:v>
      </x:c>
      <x:c r="R37" s="80" t="n">
        <x:v>5</x:v>
      </x:c>
      <x:c r="S37" s="80" t="n">
        <x:v>5</x:v>
      </x:c>
      <x:c r="T37" s="80" t="n">
        <x:v>5</x:v>
      </x:c>
      <x:c r="U37" s="80" t="n">
        <x:v>5</x:v>
      </x:c>
      <x:c r="V37" s="80" t="n">
        <x:v>5</x:v>
      </x:c>
      <x:c r="W37" s="80" t="n">
        <x:v>5</x:v>
      </x:c>
      <x:c r="X37" s="98" t="n">
        <x:f>AVERAGE(D37:W37)</x:f>
        <x:v>5</x:v>
      </x:c>
      <x:c r="Y37" s="104" t="n">
        <x:f>X37/5</x:f>
        <x:v>1</x:v>
      </x:c>
      <x:c r="Z37" s="57" t="str">
        <x:v>Sangat baik</x:v>
      </x:c>
      <x:c r="AA37" s="57" t="str">
        <x:v>Sangat layak</x:v>
      </x:c>
      <x:c r="AB37" s="58" t="str">
        <x:v>Respons ke-2 dari 2; respons terakhir dipakai pada tabel Gabungan</x:v>
      </x:c>
    </x:row>
    <x:row r="38">
      <x:c r="A38" s="92" t="n">
        <x:v>35</x:v>
      </x:c>
      <x:c r="B38" s="57" t="str">
        <x:v>Inayah Nafisah Putri</x:v>
      </x:c>
      <x:c r="C38" s="57" t="str">
        <x:v>XI.5</x:v>
      </x:c>
      <x:c r="D38" s="80" t="n">
        <x:v>4</x:v>
      </x:c>
      <x:c r="E38" s="80" t="n">
        <x:v>4</x:v>
      </x:c>
      <x:c r="F38" s="80" t="n">
        <x:v>4</x:v>
      </x:c>
      <x:c r="G38" s="80" t="n">
        <x:v>5</x:v>
      </x:c>
      <x:c r="H38" s="80" t="n">
        <x:v>4</x:v>
      </x:c>
      <x:c r="I38" s="80" t="n">
        <x:v>5</x:v>
      </x:c>
      <x:c r="J38" s="80" t="n">
        <x:v>4</x:v>
      </x:c>
      <x:c r="K38" s="80" t="n">
        <x:v>4</x:v>
      </x:c>
      <x:c r="L38" s="80" t="n">
        <x:v>4</x:v>
      </x:c>
      <x:c r="M38" s="80" t="n">
        <x:v>4</x:v>
      </x:c>
      <x:c r="N38" s="80" t="n">
        <x:v>5</x:v>
      </x:c>
      <x:c r="O38" s="80" t="n">
        <x:v>4</x:v>
      </x:c>
      <x:c r="P38" s="80" t="n">
        <x:v>3</x:v>
      </x:c>
      <x:c r="Q38" s="80" t="n">
        <x:v>3</x:v>
      </x:c>
      <x:c r="R38" s="80" t="n">
        <x:v>4</x:v>
      </x:c>
      <x:c r="S38" s="80" t="n">
        <x:v>4</x:v>
      </x:c>
      <x:c r="T38" s="80" t="n">
        <x:v>4</x:v>
      </x:c>
      <x:c r="U38" s="80" t="n">
        <x:v>5</x:v>
      </x:c>
      <x:c r="V38" s="80" t="n">
        <x:v>4</x:v>
      </x:c>
      <x:c r="W38" s="80" t="n">
        <x:v>4</x:v>
      </x:c>
      <x:c r="X38" s="98" t="n">
        <x:f>AVERAGE(D38:W38)</x:f>
        <x:v>4.1</x:v>
      </x:c>
      <x:c r="Y38" s="104" t="n">
        <x:f>X38/5</x:f>
        <x:v>0.82</x:v>
      </x:c>
      <x:c r="Z38" s="57" t="str">
        <x:v>Cukup baik</x:v>
      </x:c>
      <x:c r="AA38" s="57" t="str">
        <x:v>Sangat layak</x:v>
      </x:c>
      <x:c r="AB38" s="58" t="str"/>
    </x:row>
    <x:row r="39">
      <x:c r="A39" s="92" t="n">
        <x:v>36</x:v>
      </x:c>
      <x:c r="B39" s="57" t="str">
        <x:v>Muh Izzan Fachrul</x:v>
      </x:c>
      <x:c r="C39" s="57" t="str">
        <x:v>XI.5</x:v>
      </x:c>
      <x:c r="D39" s="80" t="n">
        <x:v>5</x:v>
      </x:c>
      <x:c r="E39" s="80" t="n">
        <x:v>4</x:v>
      </x:c>
      <x:c r="F39" s="80" t="n">
        <x:v>3</x:v>
      </x:c>
      <x:c r="G39" s="80" t="n">
        <x:v>4</x:v>
      </x:c>
      <x:c r="H39" s="80" t="n">
        <x:v>5</x:v>
      </x:c>
      <x:c r="I39" s="80" t="n">
        <x:v>4</x:v>
      </x:c>
      <x:c r="J39" s="80" t="n">
        <x:v>3</x:v>
      </x:c>
      <x:c r="K39" s="80" t="n">
        <x:v>4</x:v>
      </x:c>
      <x:c r="L39" s="80" t="n">
        <x:v>5</x:v>
      </x:c>
      <x:c r="M39" s="80" t="n">
        <x:v>4</x:v>
      </x:c>
      <x:c r="N39" s="80" t="n">
        <x:v>3</x:v>
      </x:c>
      <x:c r="O39" s="80" t="n">
        <x:v>5</x:v>
      </x:c>
      <x:c r="P39" s="80" t="n">
        <x:v>3</x:v>
      </x:c>
      <x:c r="Q39" s="80" t="n">
        <x:v>3</x:v>
      </x:c>
      <x:c r="R39" s="80" t="n">
        <x:v>4</x:v>
      </x:c>
      <x:c r="S39" s="80" t="n">
        <x:v>5</x:v>
      </x:c>
      <x:c r="T39" s="80" t="n">
        <x:v>5</x:v>
      </x:c>
      <x:c r="U39" s="80" t="n">
        <x:v>5</x:v>
      </x:c>
      <x:c r="V39" s="80" t="n">
        <x:v>3</x:v>
      </x:c>
      <x:c r="W39" s="80" t="n">
        <x:v>4</x:v>
      </x:c>
      <x:c r="X39" s="98" t="n">
        <x:f>AVERAGE(D39:W39)</x:f>
        <x:v>4.05</x:v>
      </x:c>
      <x:c r="Y39" s="104" t="n">
        <x:f>X39/5</x:f>
        <x:v>0.8099999999999999</x:v>
      </x:c>
      <x:c r="Z39" s="57" t="str">
        <x:v>Baik</x:v>
      </x:c>
      <x:c r="AA39" s="57" t="str">
        <x:v>Layak</x:v>
      </x:c>
      <x:c r="AB39" s="58" t="str"/>
    </x:row>
    <x:row r="40">
      <x:c r="A40" s="93" t="n">
        <x:v>37</x:v>
      </x:c>
      <x:c r="B40" s="60" t="str">
        <x:v>Muh Azril Safaat</x:v>
      </x:c>
      <x:c r="C40" s="60" t="str">
        <x:v>XI.5</x:v>
      </x:c>
      <x:c r="D40" s="81" t="n">
        <x:v>5</x:v>
      </x:c>
      <x:c r="E40" s="81" t="n">
        <x:v>5</x:v>
      </x:c>
      <x:c r="F40" s="81" t="n">
        <x:v>5</x:v>
      </x:c>
      <x:c r="G40" s="81" t="n">
        <x:v>5</x:v>
      </x:c>
      <x:c r="H40" s="81" t="n">
        <x:v>5</x:v>
      </x:c>
      <x:c r="I40" s="81" t="n">
        <x:v>5</x:v>
      </x:c>
      <x:c r="J40" s="81" t="n">
        <x:v>4</x:v>
      </x:c>
      <x:c r="K40" s="81" t="n">
        <x:v>4</x:v>
      </x:c>
      <x:c r="L40" s="81" t="n">
        <x:v>5</x:v>
      </x:c>
      <x:c r="M40" s="81" t="n">
        <x:v>5</x:v>
      </x:c>
      <x:c r="N40" s="81" t="n">
        <x:v>5</x:v>
      </x:c>
      <x:c r="O40" s="81" t="n">
        <x:v>4</x:v>
      </x:c>
      <x:c r="P40" s="81" t="n">
        <x:v>4</x:v>
      </x:c>
      <x:c r="Q40" s="81" t="n">
        <x:v>4</x:v>
      </x:c>
      <x:c r="R40" s="81" t="n">
        <x:v>4</x:v>
      </x:c>
      <x:c r="S40" s="81" t="n">
        <x:v>4</x:v>
      </x:c>
      <x:c r="T40" s="81" t="n">
        <x:v>3</x:v>
      </x:c>
      <x:c r="U40" s="81" t="n">
        <x:v>3</x:v>
      </x:c>
      <x:c r="V40" s="81" t="n">
        <x:v>4</x:v>
      </x:c>
      <x:c r="W40" s="81" t="n">
        <x:v>5</x:v>
      </x:c>
      <x:c r="X40" s="99" t="n">
        <x:f>AVERAGE(D40:W40)</x:f>
        <x:v>4.4</x:v>
      </x:c>
      <x:c r="Y40" s="105" t="n">
        <x:f>X40/5</x:f>
        <x:v>0.8800000000000001</x:v>
      </x:c>
      <x:c r="Z40" s="60" t="str">
        <x:v>Baik</x:v>
      </x:c>
      <x:c r="AA40" s="60" t="str">
        <x:v>Sangat layak</x:v>
      </x:c>
      <x:c r="AB40" s="61" t="str"/>
    </x:row>
    <x:row r="43" ht="34" customHeight="1">
      <x:c r="A43" s="27" t="str">
        <x:v>Kode</x:v>
      </x:c>
      <x:c r="B43" s="29" t="str">
        <x:v>Pernyataan Kuesioner</x:v>
      </x:c>
    </x:row>
    <x:row r="44">
      <x:c r="A44" s="53" t="str">
        <x:v>Q1</x:v>
      </x:c>
      <x:c r="B44" s="113" t="str">
        <x:v>Aplikasi tryout mudah digunakan.</x:v>
      </x:c>
    </x:row>
    <x:row r="45">
      <x:c r="A45" s="56" t="str">
        <x:v>Q2</x:v>
      </x:c>
      <x:c r="B45" s="114" t="str">
        <x:v>Tampilan aplikasi mudah dipahami.</x:v>
      </x:c>
    </x:row>
    <x:row r="46">
      <x:c r="A46" s="56" t="str">
        <x:v>Q3</x:v>
      </x:c>
      <x:c r="B46" s="114" t="str">
        <x:v>Menu dan tombol pada aplikasi mudah ditemukan.</x:v>
      </x:c>
    </x:row>
    <x:row r="47">
      <x:c r="A47" s="56" t="str">
        <x:v>Q4</x:v>
      </x:c>
      <x:c r="B47" s="114" t="str">
        <x:v>Proses login ke aplikasi berjalan dengan baik.</x:v>
      </x:c>
    </x:row>
    <x:row r="48">
      <x:c r="A48" s="56" t="str">
        <x:v>Q5</x:v>
      </x:c>
      <x:c r="B48" s="114" t="str">
        <x:v>Saya tidak mengalami kesulitan besar saat menggunakan aplikasi.</x:v>
      </x:c>
    </x:row>
    <x:row r="49">
      <x:c r="A49" s="56" t="str">
        <x:v>Q6</x:v>
      </x:c>
      <x:c r="B49" s="114" t="str">
        <x:v>Soal tryout dapat dibaca dengan jelas.</x:v>
      </x:c>
    </x:row>
    <x:row r="50">
      <x:c r="A50" s="56" t="str">
        <x:v>Q7</x:v>
      </x:c>
      <x:c r="B50" s="114" t="str">
        <x:v>Pilihan jawaban mudah dipilih.</x:v>
      </x:c>
    </x:row>
    <x:row r="51">
      <x:c r="A51" s="56" t="str">
        <x:v>Q8</x:v>
      </x:c>
      <x:c r="B51" s="114" t="str">
        <x:v>Proses menjawab soal berjalan dengan lancar.</x:v>
      </x:c>
    </x:row>
    <x:row r="52">
      <x:c r="A52" s="56" t="str">
        <x:v>Q9</x:v>
      </x:c>
      <x:c r="B52" s="114" t="str">
        <x:v>Waktu pengerjaan tryout sudah cukup jelas.</x:v>
      </x:c>
    </x:row>
    <x:row r="53">
      <x:c r="A53" s="56" t="str">
        <x:v>Q10</x:v>
      </x:c>
      <x:c r="B53" s="114" t="str">
        <x:v>Aplikasi dapat menampilkan soal berikutnya dengan baik.</x:v>
      </x:c>
    </x:row>
    <x:row r="54">
      <x:c r="A54" s="56" t="str">
        <x:v>Q11</x:v>
      </x:c>
      <x:c r="B54" s="114" t="str">
        <x:v>Aplikasi membuat proses tryout terasa lebih praktis.</x:v>
      </x:c>
    </x:row>
    <x:row r="55">
      <x:c r="A55" s="56" t="str">
        <x:v>Q12</x:v>
      </x:c>
      <x:c r="B55" s="114" t="str">
        <x:v>Soal yang muncul dalam tryout terasa bervariasi.</x:v>
      </x:c>
    </x:row>
    <x:row r="56">
      <x:c r="A56" s="56" t="str">
        <x:v>Q13</x:v>
      </x:c>
      <x:c r="B56" s="114" t="str">
        <x:v>Tingkat kesulitan soal yang muncul terasa cukup sesuai dengan kemampuan saya.</x:v>
      </x:c>
    </x:row>
    <x:row r="57">
      <x:c r="A57" s="56" t="str">
        <x:v>Q14</x:v>
      </x:c>
      <x:c r="B57" s="114" t="str">
        <x:v>Urutan soal yang ditampilkan tidak terasa monoton (membosankan, karena tingkat kesulitan itu-itu saja).</x:v>
      </x:c>
    </x:row>
    <x:row r="58">
      <x:c r="A58" s="56" t="str">
        <x:v>Q15</x:v>
      </x:c>
      <x:c r="B58" s="114" t="str">
        <x:v>Soal yang dimunculkan pada device saya berbeda dengan teman sebangku saya.</x:v>
      </x:c>
    </x:row>
    <x:row r="59">
      <x:c r="A59" s="56" t="str">
        <x:v>Q16</x:v>
      </x:c>
      <x:c r="B59" s="114" t="str">
        <x:v>Penyajian soal dalam aplikasi membantu saya mengerjakan tryout secara bertahap.</x:v>
      </x:c>
    </x:row>
    <x:row r="60">
      <x:c r="A60" s="56" t="str">
        <x:v>Q17</x:v>
      </x:c>
      <x:c r="B60" s="114" t="str">
        <x:v>Pengacakan soal dalam aplikasi membuat tryout terasa lebih adil dan berbeda dari latihan soal biasa.</x:v>
      </x:c>
    </x:row>
    <x:row r="61">
      <x:c r="A61" s="56" t="str">
        <x:v>Q18</x:v>
      </x:c>
      <x:c r="B61" s="114" t="str">
        <x:v>Hasil nilai tryout mudah dipahami.</x:v>
      </x:c>
    </x:row>
    <x:row r="62">
      <x:c r="A62" s="56" t="str">
        <x:v>Q19</x:v>
      </x:c>
      <x:c r="B62" s="114" t="str">
        <x:v>Riwayat atau hasil pengerjaan membantu saya mengetahui kemampuan belajar saya.</x:v>
      </x:c>
    </x:row>
    <x:row r="63">
      <x:c r="A63" s="59" t="str">
        <x:v>Q20</x:v>
      </x:c>
      <x:c r="B63" s="115" t="str">
        <x:v>Aplikasi ini membantu saya mengevaluasi pemahaman terhadap materi.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2" hidden="0" customWidth="1"/>
    <x:col min="13" max="13" width="15" hidden="0" customWidth="1"/>
    <x:col min="14" max="14" width="16" hidden="0" customWidth="1"/>
    <x:col min="15" max="15" width="16" hidden="0" customWidth="1"/>
    <x:col min="16" max="16" width="52" hidden="0" customWidth="1"/>
    <x:col min="18" max="18" width="24" hidden="0" customWidth="1"/>
    <x:col min="19" max="19" width="16" hidden="0" customWidth="1"/>
  </x:cols>
  <x:sheetData>
    <x:row r="1" ht="34" customHeight="1">
      <x:c r="A1" s="5" t="str">
        <x:v>REKAP GABUNGAN UJI COBA TRYOUT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89"/>
      <x:c r="R1" s="27" t="str">
        <x:v>Temuan Rekonsiliasi</x:v>
      </x:c>
      <x:c r="S1" s="29" t="str">
        <x:v>Nilai</x:v>
      </x:c>
    </x:row>
    <x:row r="2" ht="32" customHeight="1">
      <x:c r="A2" s="12" t="str">
        <x:v>Menggabungkan absensi, Percobaan #1, Percobaan #2, dan kuesioner berdasarkan nama. Urutan mengikuti daftar hadir. Duplikasi/ketidaksesuaian sumber tidak dihapus diam-diam dan dijelaskan pada kolom Catatan.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R2" s="53" t="str">
        <x:v>Nama unik daftar hadir</x:v>
      </x:c>
      <x:c r="S2" s="55" t="n">
        <x:v>34</x:v>
      </x:c>
    </x:row>
    <x:row r="3">
      <x:c r="R3" s="56" t="str">
        <x:v>Sesi Percobaan #1</x:v>
      </x:c>
      <x:c r="S3" s="58" t="n">
        <x:v>35</x:v>
      </x:c>
    </x:row>
    <x:row r="4" ht="34" customHeight="1">
      <x:c r="A4" s="27" t="str">
        <x:v>No</x:v>
      </x:c>
      <x:c r="B4" s="28" t="str">
        <x:v>Nama Siswa</x:v>
      </x:c>
      <x:c r="C4" s="28" t="str">
        <x:v>Absen</x:v>
      </x:c>
      <x:c r="D4" s="28" t="str">
        <x:v>Nilai #1</x:v>
      </x:c>
      <x:c r="E4" s="28" t="str">
        <x:v>Benar #1</x:v>
      </x:c>
      <x:c r="F4" s="28" t="str">
        <x:v>Salah #1</x:v>
      </x:c>
      <x:c r="G4" s="28" t="str">
        <x:v>Nilai #2</x:v>
      </x:c>
      <x:c r="H4" s="28" t="str">
        <x:v>Benar #2</x:v>
      </x:c>
      <x:c r="I4" s="28" t="str">
        <x:v>Salah #2</x:v>
      </x:c>
      <x:c r="J4" s="28" t="str">
        <x:v>Δ Nilai</x:v>
      </x:c>
      <x:c r="K4" s="28" t="str">
        <x:v>Jml Respons Kues.</x:v>
      </x:c>
      <x:c r="L4" s="28" t="str">
        <x:v>Rata2 Kues.</x:v>
      </x:c>
      <x:c r="M4" s="28" t="str">
        <x:v>Persentase Kues.</x:v>
      </x:c>
      <x:c r="N4" s="28" t="str">
        <x:v>Pendapat Umum</x:v>
      </x:c>
      <x:c r="O4" s="28" t="str">
        <x:v>Kelayakan</x:v>
      </x:c>
      <x:c r="P4" s="29" t="str">
        <x:v>Catatan</x:v>
      </x:c>
      <x:c r="R4" s="56" t="str">
        <x:v>Sesi Percobaan #2</x:v>
      </x:c>
      <x:c r="S4" s="58" t="n">
        <x:v>32</x:v>
      </x:c>
    </x:row>
    <x:row r="5">
      <x:c r="A5" s="91" t="n">
        <x:v>1</x:v>
      </x:c>
      <x:c r="B5" s="54" t="str">
        <x:v>Nur Aqillah</x:v>
      </x:c>
      <x:c r="C5" s="79" t="str">
        <x:v>Hadir</x:v>
      </x:c>
      <x:c r="D5" s="79" t="n">
        <x:v>73</x:v>
      </x:c>
      <x:c r="E5" s="79" t="n">
        <x:v>11</x:v>
      </x:c>
      <x:c r="F5" s="79" t="n">
        <x:v>4</x:v>
      </x:c>
      <x:c r="G5" s="79" t="n">
        <x:v>80</x:v>
      </x:c>
      <x:c r="H5" s="79" t="n">
        <x:v>12</x:v>
      </x:c>
      <x:c r="I5" s="79" t="n">
        <x:v>3</x:v>
      </x:c>
      <x:c r="J5" s="79" t="n">
        <x:v>7</x:v>
      </x:c>
      <x:c r="K5" s="79" t="n">
        <x:v>1</x:v>
      </x:c>
      <x:c r="L5" s="119" t="n">
        <x:v>5</x:v>
      </x:c>
      <x:c r="M5" s="125" t="n">
        <x:v>1</x:v>
      </x:c>
      <x:c r="N5" s="79" t="str">
        <x:v>Sangat baik</x:v>
      </x:c>
      <x:c r="O5" s="79" t="str">
        <x:v>Sangat layak</x:v>
      </x:c>
      <x:c r="P5" s="55" t="str"/>
      <x:c r="R5" s="56" t="str">
        <x:v>Respons kuesioner</x:v>
      </x:c>
      <x:c r="S5" s="58" t="n">
        <x:v>36</x:v>
      </x:c>
    </x:row>
    <x:row r="6">
      <x:c r="A6" s="92" t="n">
        <x:v>2</x:v>
      </x:c>
      <x:c r="B6" s="57" t="str">
        <x:v>Andi Tenri Zakirah</x:v>
      </x:c>
      <x:c r="C6" s="80" t="str">
        <x:v>Hadir</x:v>
      </x:c>
      <x:c r="D6" s="80" t="n">
        <x:v>73</x:v>
      </x:c>
      <x:c r="E6" s="80" t="n">
        <x:v>11</x:v>
      </x:c>
      <x:c r="F6" s="80" t="n">
        <x:v>4</x:v>
      </x:c>
      <x:c r="G6" s="80" t="n">
        <x:v>93</x:v>
      </x:c>
      <x:c r="H6" s="80" t="n">
        <x:v>14</x:v>
      </x:c>
      <x:c r="I6" s="80" t="n">
        <x:v>1</x:v>
      </x:c>
      <x:c r="J6" s="80" t="n">
        <x:v>20</x:v>
      </x:c>
      <x:c r="K6" s="80" t="n">
        <x:v>1</x:v>
      </x:c>
      <x:c r="L6" s="120" t="n">
        <x:v>4.85</x:v>
      </x:c>
      <x:c r="M6" s="126" t="n">
        <x:v>0.97</x:v>
      </x:c>
      <x:c r="N6" s="80" t="str">
        <x:v>Tidak baik</x:v>
      </x:c>
      <x:c r="O6" s="80" t="str">
        <x:v>Layak</x:v>
      </x:c>
      <x:c r="P6" s="58" t="str"/>
      <x:c r="R6" s="56" t="str">
        <x:v>Nama unik kuesioner</x:v>
      </x:c>
      <x:c r="S6" s="58" t="n">
        <x:v>34</x:v>
      </x:c>
    </x:row>
    <x:row r="7">
      <x:c r="A7" s="92" t="n">
        <x:v>3</x:v>
      </x:c>
      <x:c r="B7" s="57" t="str">
        <x:v>Arfiqul A'laa</x:v>
      </x:c>
      <x:c r="C7" s="80" t="str">
        <x:v>Hadir</x:v>
      </x:c>
      <x:c r="D7" s="80" t="n">
        <x:v>100</x:v>
      </x:c>
      <x:c r="E7" s="80" t="n">
        <x:v>15</x:v>
      </x:c>
      <x:c r="F7" s="80" t="n">
        <x:v>0</x:v>
      </x:c>
      <x:c r="G7" s="80" t="n">
        <x:v>100</x:v>
      </x:c>
      <x:c r="H7" s="80" t="n">
        <x:v>15</x:v>
      </x:c>
      <x:c r="I7" s="80" t="n">
        <x:v>0</x:v>
      </x:c>
      <x:c r="J7" s="80" t="n">
        <x:v>0</x:v>
      </x:c>
      <x:c r="K7" s="80" t="n">
        <x:v>1</x:v>
      </x:c>
      <x:c r="L7" s="120" t="n">
        <x:v>5</x:v>
      </x:c>
      <x:c r="M7" s="126" t="n">
        <x:v>1</x:v>
      </x:c>
      <x:c r="N7" s="80" t="str">
        <x:v>Sangat baik</x:v>
      </x:c>
      <x:c r="O7" s="80" t="str">
        <x:v>Sangat layak</x:v>
      </x:c>
      <x:c r="P7" s="58" t="str"/>
      <x:c r="R7" s="56" t="str">
        <x:v>Rata-rata nilai #1</x:v>
      </x:c>
      <x:c r="S7" s="85" t="n">
        <x:f>AVERAGE('Percobaan 1'!C5:C39)</x:f>
        <x:v>80.71428571428571</x:v>
      </x:c>
    </x:row>
    <x:row r="8">
      <x:c r="A8" s="92" t="n">
        <x:v>4</x:v>
      </x:c>
      <x:c r="B8" s="57" t="str">
        <x:v>Muh Nurhadi B</x:v>
      </x:c>
      <x:c r="C8" s="80" t="str">
        <x:v>Hadir</x:v>
      </x:c>
      <x:c r="D8" s="80" t="n">
        <x:v>73</x:v>
      </x:c>
      <x:c r="E8" s="80" t="n">
        <x:v>11</x:v>
      </x:c>
      <x:c r="F8" s="80" t="n">
        <x:v>4</x:v>
      </x:c>
      <x:c r="G8" s="80" t="n">
        <x:v>80</x:v>
      </x:c>
      <x:c r="H8" s="80" t="n">
        <x:v>12</x:v>
      </x:c>
      <x:c r="I8" s="80" t="n">
        <x:v>3</x:v>
      </x:c>
      <x:c r="J8" s="80" t="n">
        <x:v>7</x:v>
      </x:c>
      <x:c r="K8" s="80" t="n">
        <x:v>1</x:v>
      </x:c>
      <x:c r="L8" s="120" t="n">
        <x:v>5</x:v>
      </x:c>
      <x:c r="M8" s="126" t="n">
        <x:v>1</x:v>
      </x:c>
      <x:c r="N8" s="80" t="str">
        <x:v>Sangat baik</x:v>
      </x:c>
      <x:c r="O8" s="80" t="str">
        <x:v>Sangat layak</x:v>
      </x:c>
      <x:c r="P8" s="58" t="str"/>
      <x:c r="R8" s="56" t="str">
        <x:v>Rata-rata nilai #2</x:v>
      </x:c>
      <x:c r="S8" s="85" t="n">
        <x:f>AVERAGE('Percobaan 2'!C5:C36)</x:f>
        <x:v>83.25</x:v>
      </x:c>
    </x:row>
    <x:row r="9">
      <x:c r="A9" s="92" t="n">
        <x:v>5</x:v>
      </x:c>
      <x:c r="B9" s="57" t="str">
        <x:v>Ibtisam Khumaira</x:v>
      </x:c>
      <x:c r="C9" s="80" t="str">
        <x:v>Hadir</x:v>
      </x:c>
      <x:c r="D9" s="80" t="n">
        <x:v>93</x:v>
      </x:c>
      <x:c r="E9" s="80" t="n">
        <x:v>14</x:v>
      </x:c>
      <x:c r="F9" s="80" t="n">
        <x:v>1</x:v>
      </x:c>
      <x:c r="G9" s="80" t="n">
        <x:v>73</x:v>
      </x:c>
      <x:c r="H9" s="80" t="n">
        <x:v>11</x:v>
      </x:c>
      <x:c r="I9" s="80" t="n">
        <x:v>4</x:v>
      </x:c>
      <x:c r="J9" s="80" t="n">
        <x:v>-20</x:v>
      </x:c>
      <x:c r="K9" s="80" t="n">
        <x:v>2</x:v>
      </x:c>
      <x:c r="L9" s="120" t="n">
        <x:v>5</x:v>
      </x:c>
      <x:c r="M9" s="126" t="n">
        <x:v>1</x:v>
      </x:c>
      <x:c r="N9" s="80" t="str">
        <x:v>Sangat baik</x:v>
      </x:c>
      <x:c r="O9" s="80" t="str">
        <x:v>Sangat layak</x:v>
      </x:c>
      <x:c r="P9" s="58" t="str">
        <x:v>Kuesioner 2 respons; tabel gabungan memakai respons terakhir (baris 34)</x:v>
      </x:c>
      <x:c r="R9" s="56" t="str">
        <x:v>Selisih rata-rata</x:v>
      </x:c>
      <x:c r="S9" s="85" t="n">
        <x:f>S8-S7</x:f>
        <x:v>2.535714285714292</x:v>
      </x:c>
    </x:row>
    <x:row r="10">
      <x:c r="A10" s="92" t="n">
        <x:v>6</x:v>
      </x:c>
      <x:c r="B10" s="57" t="str">
        <x:v>Andi Salsabila Putri</x:v>
      </x:c>
      <x:c r="C10" s="80" t="str">
        <x:v>Hadir</x:v>
      </x:c>
      <x:c r="D10" s="80" t="n">
        <x:v>80</x:v>
      </x:c>
      <x:c r="E10" s="80" t="n">
        <x:v>12</x:v>
      </x:c>
      <x:c r="F10" s="80" t="n">
        <x:v>3</x:v>
      </x:c>
      <x:c r="G10" s="80" t="n">
        <x:v>93</x:v>
      </x:c>
      <x:c r="H10" s="80" t="n">
        <x:v>14</x:v>
      </x:c>
      <x:c r="I10" s="80" t="n">
        <x:v>1</x:v>
      </x:c>
      <x:c r="J10" s="80" t="n">
        <x:v>13</x:v>
      </x:c>
      <x:c r="K10" s="80" t="n">
        <x:v>1</x:v>
      </x:c>
      <x:c r="L10" s="120" t="n">
        <x:v>4.05</x:v>
      </x:c>
      <x:c r="M10" s="126" t="n">
        <x:v>0.81</x:v>
      </x:c>
      <x:c r="N10" s="80" t="str">
        <x:v>Baik</x:v>
      </x:c>
      <x:c r="O10" s="80" t="str">
        <x:v>Layak</x:v>
      </x:c>
      <x:c r="P10" s="58" t="str"/>
      <x:c r="R10" s="59" t="str">
        <x:v>Kuesioner (latest/unik)</x:v>
      </x:c>
      <x:c r="S10" s="111" t="n">
        <x:v>0.9173529411764706</x:v>
      </x:c>
    </x:row>
    <x:row r="11">
      <x:c r="A11" s="92" t="n">
        <x:v>7</x:v>
      </x:c>
      <x:c r="B11" s="57" t="str">
        <x:v>Muh. Fahri Ramadhan</x:v>
      </x:c>
      <x:c r="C11" s="80" t="str">
        <x:v>Hadir</x:v>
      </x:c>
      <x:c r="D11" s="80" t="n">
        <x:v>73</x:v>
      </x:c>
      <x:c r="E11" s="80" t="n">
        <x:v>11</x:v>
      </x:c>
      <x:c r="F11" s="80" t="n">
        <x:v>4</x:v>
      </x:c>
      <x:c r="G11" s="80" t="n">
        <x:v>67</x:v>
      </x:c>
      <x:c r="H11" s="80" t="n">
        <x:v>10</x:v>
      </x:c>
      <x:c r="I11" s="80" t="n">
        <x:v>5</x:v>
      </x:c>
      <x:c r="J11" s="80" t="n">
        <x:v>-6</x:v>
      </x:c>
      <x:c r="K11" s="80" t="n">
        <x:v>1</x:v>
      </x:c>
      <x:c r="L11" s="120" t="n">
        <x:v>4.3</x:v>
      </x:c>
      <x:c r="M11" s="126" t="n">
        <x:v>0.86</x:v>
      </x:c>
      <x:c r="N11" s="80" t="str">
        <x:v>Baik</x:v>
      </x:c>
      <x:c r="O11" s="80" t="str">
        <x:v>Sangat layak</x:v>
      </x:c>
      <x:c r="P11" s="58" t="str"/>
    </x:row>
    <x:row r="12">
      <x:c r="A12" s="92" t="n">
        <x:v>8</x:v>
      </x:c>
      <x:c r="B12" s="57" t="str">
        <x:v>MUH. Rifki Ramadhan</x:v>
      </x:c>
      <x:c r="C12" s="80" t="str">
        <x:v>Hadir</x:v>
      </x:c>
      <x:c r="D12" s="80" t="n">
        <x:v>87</x:v>
      </x:c>
      <x:c r="E12" s="80" t="n">
        <x:v>13</x:v>
      </x:c>
      <x:c r="F12" s="80" t="n">
        <x:v>2</x:v>
      </x:c>
      <x:c r="G12" s="80" t="n">
        <x:v>93</x:v>
      </x:c>
      <x:c r="H12" s="80" t="n">
        <x:v>14</x:v>
      </x:c>
      <x:c r="I12" s="80" t="n">
        <x:v>1</x:v>
      </x:c>
      <x:c r="J12" s="80" t="n">
        <x:v>6</x:v>
      </x:c>
      <x:c r="K12" s="80" t="n">
        <x:v>1</x:v>
      </x:c>
      <x:c r="L12" s="120" t="n">
        <x:v>3.4</x:v>
      </x:c>
      <x:c r="M12" s="126" t="n">
        <x:v>0.68</x:v>
      </x:c>
      <x:c r="N12" s="80" t="str">
        <x:v>Cukup baik</x:v>
      </x:c>
      <x:c r="O12" s="80" t="str">
        <x:v>Kurang layak</x:v>
      </x:c>
      <x:c r="P12" s="58" t="str"/>
    </x:row>
    <x:row r="13">
      <x:c r="A13" s="92" t="n">
        <x:v>9</x:v>
      </x:c>
      <x:c r="B13" s="57" t="str">
        <x:v>Muhammad Haerul</x:v>
      </x:c>
      <x:c r="C13" s="80" t="str">
        <x:v>Hadir</x:v>
      </x:c>
      <x:c r="D13" s="80" t="n">
        <x:v>40</x:v>
      </x:c>
      <x:c r="E13" s="80" t="n">
        <x:v>6</x:v>
      </x:c>
      <x:c r="F13" s="80" t="n">
        <x:v>9</x:v>
      </x:c>
      <x:c r="G13" s="80" t="n">
        <x:v>73</x:v>
      </x:c>
      <x:c r="H13" s="80" t="n">
        <x:v>11</x:v>
      </x:c>
      <x:c r="I13" s="80" t="n">
        <x:v>4</x:v>
      </x:c>
      <x:c r="J13" s="80" t="n">
        <x:v>33</x:v>
      </x:c>
      <x:c r="K13" s="80" t="n">
        <x:v>1</x:v>
      </x:c>
      <x:c r="L13" s="120" t="n">
        <x:v>4.85</x:v>
      </x:c>
      <x:c r="M13" s="126" t="n">
        <x:v>0.97</x:v>
      </x:c>
      <x:c r="N13" s="80" t="str">
        <x:v>Sangat baik</x:v>
      </x:c>
      <x:c r="O13" s="80" t="str">
        <x:v>Sangat layak</x:v>
      </x:c>
      <x:c r="P13" s="58" t="str"/>
    </x:row>
    <x:row r="14">
      <x:c r="A14" s="92" t="n">
        <x:v>10</x:v>
      </x:c>
      <x:c r="B14" s="57" t="str">
        <x:v>Trinur Alfisyahri</x:v>
      </x:c>
      <x:c r="C14" s="80" t="str">
        <x:v>Hadir</x:v>
      </x:c>
      <x:c r="D14" s="80" t="n">
        <x:v>93</x:v>
      </x:c>
      <x:c r="E14" s="80" t="n">
        <x:v>14</x:v>
      </x:c>
      <x:c r="F14" s="80" t="n">
        <x:v>1</x:v>
      </x:c>
      <x:c r="G14" s="80" t="n">
        <x:v>100</x:v>
      </x:c>
      <x:c r="H14" s="80" t="n">
        <x:v>15</x:v>
      </x:c>
      <x:c r="I14" s="80" t="n">
        <x:v>0</x:v>
      </x:c>
      <x:c r="J14" s="80" t="n">
        <x:v>7</x:v>
      </x:c>
      <x:c r="K14" s="80" t="n">
        <x:v>1</x:v>
      </x:c>
      <x:c r="L14" s="120" t="n">
        <x:v>4.7</x:v>
      </x:c>
      <x:c r="M14" s="126" t="n">
        <x:v>0.94</x:v>
      </x:c>
      <x:c r="N14" s="80" t="str">
        <x:v>Sangat baik</x:v>
      </x:c>
      <x:c r="O14" s="80" t="str">
        <x:v>Sangat layak</x:v>
      </x:c>
      <x:c r="P14" s="58" t="str"/>
    </x:row>
    <x:row r="15">
      <x:c r="A15" s="92" t="n">
        <x:v>11</x:v>
      </x:c>
      <x:c r="B15" s="57" t="str">
        <x:v>Andyanta Baskoro M</x:v>
      </x:c>
      <x:c r="C15" s="80" t="str">
        <x:v>Hadir</x:v>
      </x:c>
      <x:c r="D15" s="80" t="n">
        <x:v>80</x:v>
      </x:c>
      <x:c r="E15" s="80" t="n">
        <x:v>12</x:v>
      </x:c>
      <x:c r="F15" s="80" t="n">
        <x:v>3</x:v>
      </x:c>
      <x:c r="G15" s="80" t="n">
        <x:v>87</x:v>
      </x:c>
      <x:c r="H15" s="80" t="n">
        <x:v>13</x:v>
      </x:c>
      <x:c r="I15" s="80" t="n">
        <x:v>2</x:v>
      </x:c>
      <x:c r="J15" s="80" t="n">
        <x:v>7</x:v>
      </x:c>
      <x:c r="K15" s="80" t="n">
        <x:v>1</x:v>
      </x:c>
      <x:c r="L15" s="120" t="n">
        <x:v>4.85</x:v>
      </x:c>
      <x:c r="M15" s="126" t="n">
        <x:v>0.97</x:v>
      </x:c>
      <x:c r="N15" s="80" t="str">
        <x:v>Sangat baik</x:v>
      </x:c>
      <x:c r="O15" s="80" t="str">
        <x:v>Sangat layak</x:v>
      </x:c>
      <x:c r="P15" s="58" t="str"/>
    </x:row>
    <x:row r="16">
      <x:c r="A16" s="92" t="n">
        <x:v>12</x:v>
      </x:c>
      <x:c r="B16" s="57" t="str">
        <x:v>Al Mirah Khaerani</x:v>
      </x:c>
      <x:c r="C16" s="80" t="str">
        <x:v>Hadir</x:v>
      </x:c>
      <x:c r="D16" s="80" t="n">
        <x:v>87</x:v>
      </x:c>
      <x:c r="E16" s="80" t="n">
        <x:v>13</x:v>
      </x:c>
      <x:c r="F16" s="80" t="n">
        <x:v>2</x:v>
      </x:c>
      <x:c r="G16" s="80" t="n">
        <x:v>93</x:v>
      </x:c>
      <x:c r="H16" s="80" t="n">
        <x:v>14</x:v>
      </x:c>
      <x:c r="I16" s="80" t="n">
        <x:v>1</x:v>
      </x:c>
      <x:c r="J16" s="80" t="n">
        <x:v>6</x:v>
      </x:c>
      <x:c r="K16" s="80" t="n">
        <x:v>1</x:v>
      </x:c>
      <x:c r="L16" s="120" t="n">
        <x:v>4.9</x:v>
      </x:c>
      <x:c r="M16" s="126" t="n">
        <x:v>0.9800000000000001</x:v>
      </x:c>
      <x:c r="N16" s="80" t="str">
        <x:v>Sangat baik</x:v>
      </x:c>
      <x:c r="O16" s="80" t="str">
        <x:v>Sangat layak</x:v>
      </x:c>
      <x:c r="P16" s="58" t="str"/>
    </x:row>
    <x:row r="17">
      <x:c r="A17" s="92" t="n">
        <x:v>13</x:v>
      </x:c>
      <x:c r="B17" s="57" t="str">
        <x:v>Salsabila Nurfakhira</x:v>
      </x:c>
      <x:c r="C17" s="80" t="str">
        <x:v>Hadir</x:v>
      </x:c>
      <x:c r="D17" s="80" t="n">
        <x:v>93</x:v>
      </x:c>
      <x:c r="E17" s="80" t="n">
        <x:v>14</x:v>
      </x:c>
      <x:c r="F17" s="80" t="n">
        <x:v>1</x:v>
      </x:c>
      <x:c r="G17" s="80" t="n">
        <x:v>100</x:v>
      </x:c>
      <x:c r="H17" s="80" t="n">
        <x:v>15</x:v>
      </x:c>
      <x:c r="I17" s="80" t="n">
        <x:v>0</x:v>
      </x:c>
      <x:c r="J17" s="80" t="n">
        <x:v>7</x:v>
      </x:c>
      <x:c r="K17" s="80" t="n">
        <x:v>1</x:v>
      </x:c>
      <x:c r="L17" s="120" t="n">
        <x:v>4.65</x:v>
      </x:c>
      <x:c r="M17" s="126" t="n">
        <x:v>0.93</x:v>
      </x:c>
      <x:c r="N17" s="80" t="str">
        <x:v>Sangat baik</x:v>
      </x:c>
      <x:c r="O17" s="80" t="str">
        <x:v>Sangat layak</x:v>
      </x:c>
      <x:c r="P17" s="58" t="str"/>
    </x:row>
    <x:row r="18">
      <x:c r="A18" s="92" t="n">
        <x:v>14</x:v>
      </x:c>
      <x:c r="B18" s="57" t="str">
        <x:v>Nur Azizah Cinta Queenita Titian</x:v>
      </x:c>
      <x:c r="C18" s="80" t="str">
        <x:v>Hadir</x:v>
      </x:c>
      <x:c r="D18" s="80" t="n">
        <x:v>93</x:v>
      </x:c>
      <x:c r="E18" s="80" t="n">
        <x:v>14</x:v>
      </x:c>
      <x:c r="F18" s="80" t="n">
        <x:v>1</x:v>
      </x:c>
      <x:c r="G18" s="80" t="n">
        <x:v>93</x:v>
      </x:c>
      <x:c r="H18" s="80" t="n">
        <x:v>14</x:v>
      </x:c>
      <x:c r="I18" s="80" t="n">
        <x:v>1</x:v>
      </x:c>
      <x:c r="J18" s="80" t="n">
        <x:v>0</x:v>
      </x:c>
      <x:c r="K18" s="80" t="n">
        <x:v>1</x:v>
      </x:c>
      <x:c r="L18" s="120" t="n">
        <x:v>4.3</x:v>
      </x:c>
      <x:c r="M18" s="126" t="n">
        <x:v>0.86</x:v>
      </x:c>
      <x:c r="N18" s="80" t="str">
        <x:v>Sangat baik</x:v>
      </x:c>
      <x:c r="O18" s="80" t="str">
        <x:v>Sangat layak</x:v>
      </x:c>
      <x:c r="P18" s="58" t="str"/>
    </x:row>
    <x:row r="19">
      <x:c r="A19" s="92" t="n">
        <x:v>15</x:v>
      </x:c>
      <x:c r="B19" s="57" t="str">
        <x:v>Syifa Azzahra</x:v>
      </x:c>
      <x:c r="C19" s="80" t="str">
        <x:v>Hadir</x:v>
      </x:c>
      <x:c r="D19" s="80" t="n">
        <x:v>87</x:v>
      </x:c>
      <x:c r="E19" s="80" t="n">
        <x:v>13</x:v>
      </x:c>
      <x:c r="F19" s="80" t="n">
        <x:v>2</x:v>
      </x:c>
      <x:c r="G19" s="80" t="n">
        <x:v>100</x:v>
      </x:c>
      <x:c r="H19" s="80" t="n">
        <x:v>15</x:v>
      </x:c>
      <x:c r="I19" s="80" t="n">
        <x:v>0</x:v>
      </x:c>
      <x:c r="J19" s="80" t="n">
        <x:v>13</x:v>
      </x:c>
      <x:c r="K19" s="80" t="n">
        <x:v>1</x:v>
      </x:c>
      <x:c r="L19" s="120" t="n">
        <x:v>5</x:v>
      </x:c>
      <x:c r="M19" s="126" t="n">
        <x:v>1</x:v>
      </x:c>
      <x:c r="N19" s="80" t="str">
        <x:v>Sangat baik</x:v>
      </x:c>
      <x:c r="O19" s="80" t="str">
        <x:v>Sangat layak</x:v>
      </x:c>
      <x:c r="P19" s="58" t="str"/>
    </x:row>
    <x:row r="20">
      <x:c r="A20" s="92" t="n">
        <x:v>16</x:v>
      </x:c>
      <x:c r="B20" s="57" t="str">
        <x:v>Izzatul Afifah Zahra T.</x:v>
      </x:c>
      <x:c r="C20" s="80" t="str">
        <x:v>Hadir</x:v>
      </x:c>
      <x:c r="D20" s="80" t="n">
        <x:v>87</x:v>
      </x:c>
      <x:c r="E20" s="80" t="n">
        <x:v>13</x:v>
      </x:c>
      <x:c r="F20" s="80" t="n">
        <x:v>2</x:v>
      </x:c>
      <x:c r="G20" s="80" t="n">
        <x:v>100</x:v>
      </x:c>
      <x:c r="H20" s="80" t="n">
        <x:v>15</x:v>
      </x:c>
      <x:c r="I20" s="80" t="n">
        <x:v>0</x:v>
      </x:c>
      <x:c r="J20" s="80" t="n">
        <x:v>13</x:v>
      </x:c>
      <x:c r="K20" s="80" t="n">
        <x:v>1</x:v>
      </x:c>
      <x:c r="L20" s="120" t="n">
        <x:v>4.25</x:v>
      </x:c>
      <x:c r="M20" s="126" t="n">
        <x:v>0.85</x:v>
      </x:c>
      <x:c r="N20" s="80" t="str">
        <x:v>Baik</x:v>
      </x:c>
      <x:c r="O20" s="80" t="str">
        <x:v>Sangat layak</x:v>
      </x:c>
      <x:c r="P20" s="58" t="str"/>
    </x:row>
    <x:row r="21">
      <x:c r="A21" s="92" t="n">
        <x:v>17</x:v>
      </x:c>
      <x:c r="B21" s="57" t="str">
        <x:v>Jilan Nazihah Bagus</x:v>
      </x:c>
      <x:c r="C21" s="80" t="str">
        <x:v>Hadir</x:v>
      </x:c>
      <x:c r="D21" s="80" t="n">
        <x:v>93</x:v>
      </x:c>
      <x:c r="E21" s="80" t="n">
        <x:v>14</x:v>
      </x:c>
      <x:c r="F21" s="80" t="n">
        <x:v>1</x:v>
      </x:c>
      <x:c r="G21" s="80" t="n">
        <x:v>93</x:v>
      </x:c>
      <x:c r="H21" s="80" t="n">
        <x:v>14</x:v>
      </x:c>
      <x:c r="I21" s="80" t="n">
        <x:v>1</x:v>
      </x:c>
      <x:c r="J21" s="80" t="n">
        <x:v>0</x:v>
      </x:c>
      <x:c r="K21" s="80" t="n">
        <x:v>1</x:v>
      </x:c>
      <x:c r="L21" s="120" t="n">
        <x:v>4.1</x:v>
      </x:c>
      <x:c r="M21" s="126" t="n">
        <x:v>0.82</x:v>
      </x:c>
      <x:c r="N21" s="80" t="str">
        <x:v>Sangat baik</x:v>
      </x:c>
      <x:c r="O21" s="80" t="str">
        <x:v>Sangat layak</x:v>
      </x:c>
      <x:c r="P21" s="58" t="str"/>
    </x:row>
    <x:row r="22">
      <x:c r="A22" s="92" t="n">
        <x:v>18</x:v>
      </x:c>
      <x:c r="B22" s="57" t="str">
        <x:v>Inayah Nafisah Putri</x:v>
      </x:c>
      <x:c r="C22" s="80" t="str">
        <x:v>Hadir</x:v>
      </x:c>
      <x:c r="D22" s="80" t="n">
        <x:v>87</x:v>
      </x:c>
      <x:c r="E22" s="80" t="n">
        <x:v>13</x:v>
      </x:c>
      <x:c r="F22" s="80" t="n">
        <x:v>2</x:v>
      </x:c>
      <x:c r="G22" s="80" t="n">
        <x:v>87</x:v>
      </x:c>
      <x:c r="H22" s="80" t="n">
        <x:v>13</x:v>
      </x:c>
      <x:c r="I22" s="80" t="n">
        <x:v>2</x:v>
      </x:c>
      <x:c r="J22" s="80" t="n">
        <x:v>0</x:v>
      </x:c>
      <x:c r="K22" s="80" t="n">
        <x:v>1</x:v>
      </x:c>
      <x:c r="L22" s="120" t="n">
        <x:v>4.1</x:v>
      </x:c>
      <x:c r="M22" s="126" t="n">
        <x:v>0.82</x:v>
      </x:c>
      <x:c r="N22" s="80" t="str">
        <x:v>Cukup baik</x:v>
      </x:c>
      <x:c r="O22" s="80" t="str">
        <x:v>Sangat layak</x:v>
      </x:c>
      <x:c r="P22" s="58" t="str"/>
    </x:row>
    <x:row r="23">
      <x:c r="A23" s="92" t="n">
        <x:v>19</x:v>
      </x:c>
      <x:c r="B23" s="57" t="str">
        <x:v>Fatihah Amalia</x:v>
      </x:c>
      <x:c r="C23" s="80" t="str">
        <x:v>Hadir</x:v>
      </x:c>
      <x:c r="D23" s="80" t="n">
        <x:v>73</x:v>
      </x:c>
      <x:c r="E23" s="80" t="n">
        <x:v>11</x:v>
      </x:c>
      <x:c r="F23" s="80" t="n">
        <x:v>4</x:v>
      </x:c>
      <x:c r="G23" s="80" t="n">
        <x:v>80</x:v>
      </x:c>
      <x:c r="H23" s="80" t="n">
        <x:v>12</x:v>
      </x:c>
      <x:c r="I23" s="80" t="n">
        <x:v>3</x:v>
      </x:c>
      <x:c r="J23" s="80" t="n">
        <x:v>7</x:v>
      </x:c>
      <x:c r="K23" s="80" t="n">
        <x:v>1</x:v>
      </x:c>
      <x:c r="L23" s="120" t="n">
        <x:v>4.15</x:v>
      </x:c>
      <x:c r="M23" s="126" t="n">
        <x:v>0.83</x:v>
      </x:c>
      <x:c r="N23" s="80" t="str">
        <x:v>Baik</x:v>
      </x:c>
      <x:c r="O23" s="80" t="str">
        <x:v>Sangat layak</x:v>
      </x:c>
      <x:c r="P23" s="58" t="str"/>
    </x:row>
    <x:row r="24">
      <x:c r="A24" s="92" t="n">
        <x:v>20</x:v>
      </x:c>
      <x:c r="B24" s="57" t="str">
        <x:v>Chiquita Aurelia Wiral</x:v>
      </x:c>
      <x:c r="C24" s="80" t="str">
        <x:v>Hadir</x:v>
      </x:c>
      <x:c r="D24" s="80" t="n">
        <x:v>80</x:v>
      </x:c>
      <x:c r="E24" s="80" t="n">
        <x:v>12</x:v>
      </x:c>
      <x:c r="F24" s="80" t="n">
        <x:v>3</x:v>
      </x:c>
      <x:c r="G24" s="80" t="n">
        <x:v>93</x:v>
      </x:c>
      <x:c r="H24" s="80" t="n">
        <x:v>14</x:v>
      </x:c>
      <x:c r="I24" s="80" t="n">
        <x:v>1</x:v>
      </x:c>
      <x:c r="J24" s="80" t="n">
        <x:v>13</x:v>
      </x:c>
      <x:c r="K24" s="80" t="n">
        <x:v>2</x:v>
      </x:c>
      <x:c r="L24" s="120" t="n">
        <x:v>5</x:v>
      </x:c>
      <x:c r="M24" s="126" t="n">
        <x:v>1</x:v>
      </x:c>
      <x:c r="N24" s="80" t="str">
        <x:v>Sangat baik</x:v>
      </x:c>
      <x:c r="O24" s="80" t="str">
        <x:v>Sangat layak</x:v>
      </x:c>
      <x:c r="P24" s="58" t="str">
        <x:v>Kuesioner 2 respons; tabel gabungan memakai respons terakhir (baris 33)</x:v>
      </x:c>
    </x:row>
    <x:row r="25">
      <x:c r="A25" s="92" t="n">
        <x:v>21</x:v>
      </x:c>
      <x:c r="B25" s="57" t="str">
        <x:v>Muh Azril Safaat</x:v>
      </x:c>
      <x:c r="C25" s="80" t="str">
        <x:v>Hadir</x:v>
      </x:c>
      <x:c r="D25" s="80" t="n">
        <x:v>73</x:v>
      </x:c>
      <x:c r="E25" s="80" t="n">
        <x:v>11</x:v>
      </x:c>
      <x:c r="F25" s="80" t="n">
        <x:v>4</x:v>
      </x:c>
      <x:c r="G25" s="80" t="n">
        <x:v>53</x:v>
      </x:c>
      <x:c r="H25" s="80" t="n">
        <x:v>8</x:v>
      </x:c>
      <x:c r="I25" s="80" t="n">
        <x:v>7</x:v>
      </x:c>
      <x:c r="J25" s="80" t="n">
        <x:v>-20</x:v>
      </x:c>
      <x:c r="K25" s="80" t="n">
        <x:v>1</x:v>
      </x:c>
      <x:c r="L25" s="120" t="n">
        <x:v>4.4</x:v>
      </x:c>
      <x:c r="M25" s="126" t="n">
        <x:v>0.8800000000000001</x:v>
      </x:c>
      <x:c r="N25" s="80" t="str">
        <x:v>Baik</x:v>
      </x:c>
      <x:c r="O25" s="80" t="str">
        <x:v>Sangat layak</x:v>
      </x:c>
      <x:c r="P25" s="58" t="str"/>
    </x:row>
    <x:row r="26">
      <x:c r="A26" s="92" t="n">
        <x:v>22</x:v>
      </x:c>
      <x:c r="B26" s="57" t="str">
        <x:v>Ahmad Hussein Rauf</x:v>
      </x:c>
      <x:c r="C26" s="80" t="str">
        <x:v>Hadir</x:v>
      </x:c>
      <x:c r="D26" s="80" t="n">
        <x:v>60</x:v>
      </x:c>
      <x:c r="E26" s="80" t="n">
        <x:v>9</x:v>
      </x:c>
      <x:c r="F26" s="80" t="n">
        <x:v>6</x:v>
      </x:c>
      <x:c r="G26" s="80" t="n">
        <x:v>80</x:v>
      </x:c>
      <x:c r="H26" s="80" t="n">
        <x:v>12</x:v>
      </x:c>
      <x:c r="I26" s="80" t="n">
        <x:v>3</x:v>
      </x:c>
      <x:c r="J26" s="80" t="n">
        <x:v>20</x:v>
      </x:c>
      <x:c r="K26" s="80" t="n">
        <x:v>1</x:v>
      </x:c>
      <x:c r="L26" s="120" t="n">
        <x:v>3.9</x:v>
      </x:c>
      <x:c r="M26" s="126" t="n">
        <x:v>0.78</x:v>
      </x:c>
      <x:c r="N26" s="80" t="str">
        <x:v>Cukup baik</x:v>
      </x:c>
      <x:c r="O26" s="80" t="str">
        <x:v>Sangat layak</x:v>
      </x:c>
      <x:c r="P26" s="58" t="str"/>
    </x:row>
    <x:row r="27">
      <x:c r="A27" s="92" t="n">
        <x:v>23</x:v>
      </x:c>
      <x:c r="B27" s="57" t="str">
        <x:v>Muh Alfarel Juliansyah Husmar</x:v>
      </x:c>
      <x:c r="C27" s="80" t="str">
        <x:v>Hadir</x:v>
      </x:c>
      <x:c r="D27" s="80" t="n">
        <x:v>87</x:v>
      </x:c>
      <x:c r="E27" s="80" t="n">
        <x:v>13</x:v>
      </x:c>
      <x:c r="F27" s="80" t="n">
        <x:v>2</x:v>
      </x:c>
      <x:c r="G27" s="80" t="n">
        <x:v>93</x:v>
      </x:c>
      <x:c r="H27" s="80" t="n">
        <x:v>14</x:v>
      </x:c>
      <x:c r="I27" s="80" t="n">
        <x:v>1</x:v>
      </x:c>
      <x:c r="J27" s="80" t="n">
        <x:v>6</x:v>
      </x:c>
      <x:c r="K27" s="80" t="n">
        <x:v>1</x:v>
      </x:c>
      <x:c r="L27" s="120" t="n">
        <x:v>5</x:v>
      </x:c>
      <x:c r="M27" s="126" t="n">
        <x:v>1</x:v>
      </x:c>
      <x:c r="N27" s="80" t="str">
        <x:v>Sangat baik</x:v>
      </x:c>
      <x:c r="O27" s="80" t="str">
        <x:v>Sangat layak</x:v>
      </x:c>
      <x:c r="P27" s="58" t="str"/>
    </x:row>
    <x:row r="28">
      <x:c r="A28" s="92" t="n">
        <x:v>24</x:v>
      </x:c>
      <x:c r="B28" s="57" t="str">
        <x:v>Tayza Dwi Sulestari</x:v>
      </x:c>
      <x:c r="C28" s="80" t="str">
        <x:v>Hadir</x:v>
      </x:c>
      <x:c r="D28" s="80" t="str">
        <x:v>80 / 73</x:v>
      </x:c>
      <x:c r="E28" s="80" t="str">
        <x:v>12 / 11</x:v>
      </x:c>
      <x:c r="F28" s="80" t="str">
        <x:v>3 / 4</x:v>
      </x:c>
      <x:c r="G28" s="80" t="str"/>
      <x:c r="H28" s="80" t="str"/>
      <x:c r="I28" s="80" t="str"/>
      <x:c r="J28" s="80" t="str"/>
      <x:c r="K28" s="80" t="n">
        <x:v>1</x:v>
      </x:c>
      <x:c r="L28" s="120" t="n">
        <x:v>4</x:v>
      </x:c>
      <x:c r="M28" s="126" t="n">
        <x:v>0.8</x:v>
      </x:c>
      <x:c r="N28" s="80" t="str">
        <x:v>Baik</x:v>
      </x:c>
      <x:c r="O28" s="80" t="str">
        <x:v>Layak</x:v>
      </x:c>
      <x:c r="P28" s="58" t="str">
        <x:v>Percobaan #1 tercatat 2 akun/sesi untuk nama yang sama; Tidak ada Percobaan #2 pada tangkapan layar</x:v>
      </x:c>
    </x:row>
    <x:row r="29">
      <x:c r="A29" s="92" t="n">
        <x:v>25</x:v>
      </x:c>
      <x:c r="B29" s="57" t="str">
        <x:v>Muh Multazam</x:v>
      </x:c>
      <x:c r="C29" s="80" t="str">
        <x:v>Hadir</x:v>
      </x:c>
      <x:c r="D29" s="80" t="n">
        <x:v>60</x:v>
      </x:c>
      <x:c r="E29" s="80" t="n">
        <x:v>9</x:v>
      </x:c>
      <x:c r="F29" s="80" t="n">
        <x:v>6</x:v>
      </x:c>
      <x:c r="G29" s="80" t="n">
        <x:v>80</x:v>
      </x:c>
      <x:c r="H29" s="80" t="n">
        <x:v>12</x:v>
      </x:c>
      <x:c r="I29" s="80" t="n">
        <x:v>3</x:v>
      </x:c>
      <x:c r="J29" s="80" t="n">
        <x:v>20</x:v>
      </x:c>
      <x:c r="K29" s="80" t="n">
        <x:v>1</x:v>
      </x:c>
      <x:c r="L29" s="120" t="n">
        <x:v>5</x:v>
      </x:c>
      <x:c r="M29" s="126" t="n">
        <x:v>1</x:v>
      </x:c>
      <x:c r="N29" s="80" t="str">
        <x:v>Sangat baik</x:v>
      </x:c>
      <x:c r="O29" s="80" t="str">
        <x:v>Sangat layak</x:v>
      </x:c>
      <x:c r="P29" s="58" t="str"/>
    </x:row>
    <x:row r="30">
      <x:c r="A30" s="92" t="n">
        <x:v>26</x:v>
      </x:c>
      <x:c r="B30" s="57" t="str">
        <x:v>Muh. Fadli</x:v>
      </x:c>
      <x:c r="C30" s="80" t="str">
        <x:v>Hadir</x:v>
      </x:c>
      <x:c r="D30" s="80" t="n">
        <x:v>67</x:v>
      </x:c>
      <x:c r="E30" s="80" t="n">
        <x:v>10</x:v>
      </x:c>
      <x:c r="F30" s="80" t="n">
        <x:v>5</x:v>
      </x:c>
      <x:c r="G30" s="80" t="str"/>
      <x:c r="H30" s="80" t="str"/>
      <x:c r="I30" s="80" t="str"/>
      <x:c r="J30" s="80" t="str"/>
      <x:c r="K30" s="80" t="n">
        <x:v>1</x:v>
      </x:c>
      <x:c r="L30" s="120" t="n">
        <x:v>4.5</x:v>
      </x:c>
      <x:c r="M30" s="126" t="n">
        <x:v>0.9</x:v>
      </x:c>
      <x:c r="N30" s="80" t="str">
        <x:v>Baik</x:v>
      </x:c>
      <x:c r="O30" s="80" t="str">
        <x:v>Sangat layak</x:v>
      </x:c>
      <x:c r="P30" s="58" t="str">
        <x:v>Tidak ada Percobaan #2 pada tangkapan layar</x:v>
      </x:c>
    </x:row>
    <x:row r="31">
      <x:c r="A31" s="92" t="n">
        <x:v>27</x:v>
      </x:c>
      <x:c r="B31" s="57" t="str">
        <x:v>Siti Marwah</x:v>
      </x:c>
      <x:c r="C31" s="80" t="str">
        <x:v>Hadir</x:v>
      </x:c>
      <x:c r="D31" s="80" t="n">
        <x:v>80</x:v>
      </x:c>
      <x:c r="E31" s="80" t="n">
        <x:v>12</x:v>
      </x:c>
      <x:c r="F31" s="80" t="n">
        <x:v>3</x:v>
      </x:c>
      <x:c r="G31" s="80" t="n">
        <x:v>67</x:v>
      </x:c>
      <x:c r="H31" s="80" t="n">
        <x:v>10</x:v>
      </x:c>
      <x:c r="I31" s="80" t="n">
        <x:v>5</x:v>
      </x:c>
      <x:c r="J31" s="80" t="n">
        <x:v>-13</x:v>
      </x:c>
      <x:c r="K31" s="80" t="n">
        <x:v>1</x:v>
      </x:c>
      <x:c r="L31" s="120" t="n">
        <x:v>4.4</x:v>
      </x:c>
      <x:c r="M31" s="126" t="n">
        <x:v>0.8800000000000001</x:v>
      </x:c>
      <x:c r="N31" s="80" t="str">
        <x:v>Sangat baik</x:v>
      </x:c>
      <x:c r="O31" s="80" t="str">
        <x:v>Sangat layak</x:v>
      </x:c>
      <x:c r="P31" s="58" t="str"/>
    </x:row>
    <x:row r="32">
      <x:c r="A32" s="92" t="n">
        <x:v>28</x:v>
      </x:c>
      <x:c r="B32" s="57" t="str">
        <x:v>Ahmad Farras Zhifran Hukdar</x:v>
      </x:c>
      <x:c r="C32" s="80" t="str">
        <x:v>Hadir</x:v>
      </x:c>
      <x:c r="D32" s="80" t="n">
        <x:v>87</x:v>
      </x:c>
      <x:c r="E32" s="80" t="n">
        <x:v>13</x:v>
      </x:c>
      <x:c r="F32" s="80" t="n">
        <x:v>2</x:v>
      </x:c>
      <x:c r="G32" s="80" t="n">
        <x:v>33</x:v>
      </x:c>
      <x:c r="H32" s="80" t="n">
        <x:v>5</x:v>
      </x:c>
      <x:c r="I32" s="80" t="n">
        <x:v>10</x:v>
      </x:c>
      <x:c r="J32" s="80" t="n">
        <x:v>-54</x:v>
      </x:c>
      <x:c r="K32" s="80" t="n">
        <x:v>1</x:v>
      </x:c>
      <x:c r="L32" s="120" t="n">
        <x:v>4.8</x:v>
      </x:c>
      <x:c r="M32" s="126" t="n">
        <x:v>0.96</x:v>
      </x:c>
      <x:c r="N32" s="80" t="str">
        <x:v>Sangat baik</x:v>
      </x:c>
      <x:c r="O32" s="80" t="str">
        <x:v>Sangat layak</x:v>
      </x:c>
      <x:c r="P32" s="58" t="str"/>
    </x:row>
    <x:row r="33">
      <x:c r="A33" s="92" t="n">
        <x:v>29</x:v>
      </x:c>
      <x:c r="B33" s="57" t="str">
        <x:v>Siti Ihktiyatun Shaleha</x:v>
      </x:c>
      <x:c r="C33" s="80" t="str">
        <x:v>Hadir</x:v>
      </x:c>
      <x:c r="D33" s="80" t="n">
        <x:v>93</x:v>
      </x:c>
      <x:c r="E33" s="80" t="n">
        <x:v>14</x:v>
      </x:c>
      <x:c r="F33" s="80" t="n">
        <x:v>1</x:v>
      </x:c>
      <x:c r="G33" s="80" t="n">
        <x:v>93</x:v>
      </x:c>
      <x:c r="H33" s="80" t="n">
        <x:v>14</x:v>
      </x:c>
      <x:c r="I33" s="80" t="n">
        <x:v>1</x:v>
      </x:c>
      <x:c r="J33" s="80" t="n">
        <x:v>0</x:v>
      </x:c>
      <x:c r="K33" s="80" t="n">
        <x:v>1</x:v>
      </x:c>
      <x:c r="L33" s="120" t="n">
        <x:v>5</x:v>
      </x:c>
      <x:c r="M33" s="126" t="n">
        <x:v>1</x:v>
      </x:c>
      <x:c r="N33" s="80" t="str">
        <x:v>Sangat baik</x:v>
      </x:c>
      <x:c r="O33" s="80" t="str">
        <x:v>Sangat layak</x:v>
      </x:c>
      <x:c r="P33" s="58" t="str"/>
    </x:row>
    <x:row r="34">
      <x:c r="A34" s="92" t="n">
        <x:v>30</x:v>
      </x:c>
      <x:c r="B34" s="57" t="str">
        <x:v>Ainun Arsyita Azzahra</x:v>
      </x:c>
      <x:c r="C34" s="80" t="str">
        <x:v>Hadir</x:v>
      </x:c>
      <x:c r="D34" s="80" t="n">
        <x:v>100</x:v>
      </x:c>
      <x:c r="E34" s="80" t="n">
        <x:v>15</x:v>
      </x:c>
      <x:c r="F34" s="80" t="n">
        <x:v>0</x:v>
      </x:c>
      <x:c r="G34" s="80" t="n">
        <x:v>100</x:v>
      </x:c>
      <x:c r="H34" s="80" t="n">
        <x:v>15</x:v>
      </x:c>
      <x:c r="I34" s="80" t="n">
        <x:v>0</x:v>
      </x:c>
      <x:c r="J34" s="80" t="n">
        <x:v>0</x:v>
      </x:c>
      <x:c r="K34" s="80" t="n">
        <x:v>1</x:v>
      </x:c>
      <x:c r="L34" s="120" t="n">
        <x:v>5</x:v>
      </x:c>
      <x:c r="M34" s="126" t="n">
        <x:v>1</x:v>
      </x:c>
      <x:c r="N34" s="80" t="str">
        <x:v>Sangat baik</x:v>
      </x:c>
      <x:c r="O34" s="80" t="str">
        <x:v>Sangat layak</x:v>
      </x:c>
      <x:c r="P34" s="58" t="str"/>
    </x:row>
    <x:row r="35">
      <x:c r="A35" s="92" t="n">
        <x:v>31</x:v>
      </x:c>
      <x:c r="B35" s="57" t="str">
        <x:v>Siti Nurfadillah</x:v>
      </x:c>
      <x:c r="C35" s="80" t="str">
        <x:v>Hadir</x:v>
      </x:c>
      <x:c r="D35" s="80" t="n">
        <x:v>80</x:v>
      </x:c>
      <x:c r="E35" s="80" t="n">
        <x:v>12</x:v>
      </x:c>
      <x:c r="F35" s="80" t="n">
        <x:v>3</x:v>
      </x:c>
      <x:c r="G35" s="80" t="n">
        <x:v>87</x:v>
      </x:c>
      <x:c r="H35" s="80" t="n">
        <x:v>13</x:v>
      </x:c>
      <x:c r="I35" s="80" t="n">
        <x:v>2</x:v>
      </x:c>
      <x:c r="J35" s="80" t="n">
        <x:v>7</x:v>
      </x:c>
      <x:c r="K35" s="80" t="n">
        <x:v>1</x:v>
      </x:c>
      <x:c r="L35" s="120" t="n">
        <x:v>4.45</x:v>
      </x:c>
      <x:c r="M35" s="126" t="n">
        <x:v>0.89</x:v>
      </x:c>
      <x:c r="N35" s="80" t="str">
        <x:v>Sangat baik</x:v>
      </x:c>
      <x:c r="O35" s="80" t="str">
        <x:v>Layak</x:v>
      </x:c>
      <x:c r="P35" s="58" t="str"/>
    </x:row>
    <x:row r="36">
      <x:c r="A36" s="92" t="n">
        <x:v>32</x:v>
      </x:c>
      <x:c r="B36" s="57" t="str">
        <x:v>Khayla Jelita Ramadhani</x:v>
      </x:c>
      <x:c r="C36" s="80" t="str">
        <x:v>Hadir</x:v>
      </x:c>
      <x:c r="D36" s="80" t="n">
        <x:v>80</x:v>
      </x:c>
      <x:c r="E36" s="80" t="n">
        <x:v>12</x:v>
      </x:c>
      <x:c r="F36" s="80" t="n">
        <x:v>3</x:v>
      </x:c>
      <x:c r="G36" s="80" t="n">
        <x:v>87</x:v>
      </x:c>
      <x:c r="H36" s="80" t="n">
        <x:v>13</x:v>
      </x:c>
      <x:c r="I36" s="80" t="n">
        <x:v>2</x:v>
      </x:c>
      <x:c r="J36" s="80" t="n">
        <x:v>7</x:v>
      </x:c>
      <x:c r="K36" s="80" t="n">
        <x:v>1</x:v>
      </x:c>
      <x:c r="L36" s="120" t="n">
        <x:v>5</x:v>
      </x:c>
      <x:c r="M36" s="126" t="n">
        <x:v>1</x:v>
      </x:c>
      <x:c r="N36" s="80" t="str">
        <x:v>Sangat baik</x:v>
      </x:c>
      <x:c r="O36" s="80" t="str">
        <x:v>Sangat layak</x:v>
      </x:c>
      <x:c r="P36" s="58" t="str"/>
    </x:row>
    <x:row r="37">
      <x:c r="A37" s="92" t="n">
        <x:v>33</x:v>
      </x:c>
      <x:c r="B37" s="57" t="str">
        <x:v>Annisa Aurel Clarista</x:v>
      </x:c>
      <x:c r="C37" s="80" t="str">
        <x:v>Hadir</x:v>
      </x:c>
      <x:c r="D37" s="80" t="n">
        <x:v>73</x:v>
      </x:c>
      <x:c r="E37" s="80" t="n">
        <x:v>11</x:v>
      </x:c>
      <x:c r="F37" s="80" t="n">
        <x:v>4</x:v>
      </x:c>
      <x:c r="G37" s="80" t="n">
        <x:v>40</x:v>
      </x:c>
      <x:c r="H37" s="80" t="n">
        <x:v>6</x:v>
      </x:c>
      <x:c r="I37" s="80" t="n">
        <x:v>9</x:v>
      </x:c>
      <x:c r="J37" s="80" t="n">
        <x:v>-33</x:v>
      </x:c>
      <x:c r="K37" s="80" t="n">
        <x:v>1</x:v>
      </x:c>
      <x:c r="L37" s="120" t="n">
        <x:v>5</x:v>
      </x:c>
      <x:c r="M37" s="126" t="n">
        <x:v>1</x:v>
      </x:c>
      <x:c r="N37" s="80" t="str">
        <x:v>Sangat baik</x:v>
      </x:c>
      <x:c r="O37" s="80" t="str">
        <x:v>Sangat layak</x:v>
      </x:c>
      <x:c r="P37" s="58" t="str"/>
    </x:row>
    <x:row r="38">
      <x:c r="A38" s="93" t="n">
        <x:v>34</x:v>
      </x:c>
      <x:c r="B38" s="60" t="str">
        <x:v>Muh Izzan Fachrul</x:v>
      </x:c>
      <x:c r="C38" s="81" t="str">
        <x:v>Hadir</x:v>
      </x:c>
      <x:c r="D38" s="81" t="n">
        <x:v>87</x:v>
      </x:c>
      <x:c r="E38" s="81" t="n">
        <x:v>13</x:v>
      </x:c>
      <x:c r="F38" s="81" t="n">
        <x:v>2</x:v>
      </x:c>
      <x:c r="G38" s="81" t="n">
        <x:v>73</x:v>
      </x:c>
      <x:c r="H38" s="81" t="n">
        <x:v>11</x:v>
      </x:c>
      <x:c r="I38" s="81" t="n">
        <x:v>4</x:v>
      </x:c>
      <x:c r="J38" s="81" t="n">
        <x:v>-14</x:v>
      </x:c>
      <x:c r="K38" s="81" t="n">
        <x:v>1</x:v>
      </x:c>
      <x:c r="L38" s="121" t="n">
        <x:v>4.05</x:v>
      </x:c>
      <x:c r="M38" s="127" t="n">
        <x:v>0.81</x:v>
      </x:c>
      <x:c r="N38" s="81" t="str">
        <x:v>Baik</x:v>
      </x:c>
      <x:c r="O38" s="81" t="str">
        <x:v>Layak</x:v>
      </x:c>
      <x:c r="P38" s="61" t="str"/>
    </x:row>
  </x:sheetData>
  <x:mergeCells>
    <x:mergeCell ref="A1:P1"/>
    <x:mergeCell ref="A2:P2"/>
  </x:mergeCells>
  <x:conditionalFormatting sqref="J5:J38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34" hidden="0" customWidth="1"/>
    <x:col min="4" max="4" width="34" hidden="0" customWidth="1"/>
    <x:col min="5" max="5" width="40" hidden="0" customWidth="1"/>
    <x:col min="6" max="6" width="13" hidden="0" customWidth="1"/>
    <x:col min="7" max="7" width="45" hidden="0" customWidth="1"/>
    <x:col min="9" max="9" width="22" hidden="0" customWidth="1"/>
    <x:col min="10" max="10" width="18" hidden="0" customWidth="1"/>
  </x:cols>
  <x:sheetData>
    <x:row r="1" ht="38" customHeight="1">
      <x:c r="A1" s="138" t="str">
        <x:v>REKAP PENGUJIAN BLACK BOX APLIKASI TRYOUT</x:v>
      </x:c>
      <x:c r="B1" s="138"/>
      <x:c r="C1" s="138"/>
      <x:c r="D1" s="138"/>
      <x:c r="E1" s="138"/>
      <x:c r="F1" s="138"/>
      <x:c r="G1" s="138"/>
      <x:c r="I1" s="154" t="str">
        <x:v>Ringkasan</x:v>
      </x:c>
      <x:c r="J1" s="156" t="str">
        <x:v>Nilai</x:v>
      </x:c>
    </x:row>
    <x:row r="2" ht="34" customHeight="1">
      <x:c r="A2" s="142" t="str">
        <x:v>Sumber: lembar Pengujian Black Box tanggal 29 Juli 2026. Tanda 'Gagal' pada kolom status dicoret pada seluruh skenario, sehingga direkap sebagai 'Berhasil'.</x:v>
      </x:c>
      <x:c r="B2" s="142"/>
      <x:c r="C2" s="142"/>
      <x:c r="D2" s="142"/>
      <x:c r="E2" s="142"/>
      <x:c r="F2" s="142"/>
      <x:c r="G2" s="142"/>
      <x:c r="I2" s="175" t="str">
        <x:v>Jumlah skenario</x:v>
      </x:c>
      <x:c r="J2" s="177" t="n">
        <x:v>21</x:v>
      </x:c>
    </x:row>
    <x:row r="3">
      <x:c r="I3" s="178" t="str">
        <x:v>Berhasil</x:v>
      </x:c>
      <x:c r="J3" s="180" t="n">
        <x:f>COUNTIF(F5:F25,"Berhasil")</x:f>
        <x:v>21</x:v>
      </x:c>
    </x:row>
    <x:row r="4" ht="38" customHeight="1">
      <x:c r="A4" s="154" t="str">
        <x:v>Fitur</x:v>
      </x:c>
      <x:c r="B4" s="155" t="str">
        <x:v>Aktor</x:v>
      </x:c>
      <x:c r="C4" s="155" t="str">
        <x:v>Skenario Pengujian</x:v>
      </x:c>
      <x:c r="D4" s="155" t="str">
        <x:v>Hasil yang Diharapkan</x:v>
      </x:c>
      <x:c r="E4" s="155" t="str">
        <x:v>Hasil Aktual</x:v>
      </x:c>
      <x:c r="F4" s="155" t="str">
        <x:v>Status</x:v>
      </x:c>
      <x:c r="G4" s="156" t="str">
        <x:v>Catatan</x:v>
      </x:c>
      <x:c r="I4" s="178" t="str">
        <x:v>Gagal</x:v>
      </x:c>
      <x:c r="J4" s="180" t="n">
        <x:f>COUNTIF(F5:F25,"Gagal")</x:f>
        <x:v>0</x:v>
      </x:c>
    </x:row>
    <x:row r="5">
      <x:c r="A5" s="175" t="str">
        <x:v>Login</x:v>
      </x:c>
      <x:c r="B5" s="184" t="str">
        <x:v>Admin</x:v>
      </x:c>
      <x:c r="C5" s="176" t="str">
        <x:v>Admin login menggunakan akun yang valid</x:v>
      </x:c>
      <x:c r="D5" s="176" t="str">
        <x:v>Sistem menampilkan dashboard admin</x:v>
      </x:c>
      <x:c r="E5" s="176" t="str">
        <x:v>Admin berhasil masuk ke dashboard admin</x:v>
      </x:c>
      <x:c r="F5" s="184" t="str">
        <x:v>Berhasil</x:v>
      </x:c>
      <x:c r="G5" s="177" t="str"/>
      <x:c r="I5" s="178" t="str">
        <x:v>Tingkat keberhasilan</x:v>
      </x:c>
      <x:c r="J5" s="187" t="n">
        <x:f>J3/J2</x:f>
        <x:v>1</x:v>
      </x:c>
    </x:row>
    <x:row r="6">
      <x:c r="A6" s="178" t="str">
        <x:v>Login</x:v>
      </x:c>
      <x:c r="B6" s="185" t="str">
        <x:v>Guru</x:v>
      </x:c>
      <x:c r="C6" s="179" t="str">
        <x:v>Guru login menggunakan akun yang valid</x:v>
      </x:c>
      <x:c r="D6" s="179" t="str">
        <x:v>Sistem menampilkan dashboard guru</x:v>
      </x:c>
      <x:c r="E6" s="179" t="str">
        <x:v>Guru berhasil masuk ke dashboard guru</x:v>
      </x:c>
      <x:c r="F6" s="185" t="str">
        <x:v>Berhasil</x:v>
      </x:c>
      <x:c r="G6" s="180" t="str"/>
      <x:c r="I6" s="181" t="str">
        <x:v>Tanggal pengujian</x:v>
      </x:c>
      <x:c r="J6" s="183" t="str">
        <x:v>29 Juli 2026</x:v>
      </x:c>
    </x:row>
    <x:row r="7">
      <x:c r="A7" s="178" t="str">
        <x:v>Login</x:v>
      </x:c>
      <x:c r="B7" s="185" t="str">
        <x:v>Siswa</x:v>
      </x:c>
      <x:c r="C7" s="179" t="str">
        <x:v>Siswa login menggunakan akun yang valid</x:v>
      </x:c>
      <x:c r="D7" s="179" t="str">
        <x:v>Sistem menampilkan dashboard siswa</x:v>
      </x:c>
      <x:c r="E7" s="179" t="str">
        <x:v>Siswa berhasil masuk ke dashboard siswa</x:v>
      </x:c>
      <x:c r="F7" s="185" t="str">
        <x:v>Berhasil</x:v>
      </x:c>
      <x:c r="G7" s="180" t="str"/>
    </x:row>
    <x:row r="8">
      <x:c r="A8" s="178" t="str">
        <x:v>Manajemen Akun Guru</x:v>
      </x:c>
      <x:c r="B8" s="185" t="str">
        <x:v>Admin</x:v>
      </x:c>
      <x:c r="C8" s="179" t="str">
        <x:v>Admin menambahkan akun guru baru dengan data yang valid</x:v>
      </x:c>
      <x:c r="D8" s="179" t="str">
        <x:v>Sistem berhasil membuat akun guru baru</x:v>
      </x:c>
      <x:c r="E8" s="179" t="str">
        <x:v>Akun guru baru berhasil dibuat dan tampil pada daftar guru</x:v>
      </x:c>
      <x:c r="F8" s="185" t="str">
        <x:v>Berhasil</x:v>
      </x:c>
      <x:c r="G8" s="180" t="str"/>
    </x:row>
    <x:row r="9">
      <x:c r="A9" s="178" t="str">
        <x:v>Hak Akses Guru</x:v>
      </x:c>
      <x:c r="B9" s="185" t="str">
        <x:v>Guru</x:v>
      </x:c>
      <x:c r="C9" s="179" t="str">
        <x:v>Guru login menggunakan akun yang telah dibuat admin</x:v>
      </x:c>
      <x:c r="D9" s="179" t="str">
        <x:v>Sistem menampilkan dashboard guru</x:v>
      </x:c>
      <x:c r="E9" s="179" t="str">
        <x:v>Guru berhasil masuk ke dashboard guru</x:v>
      </x:c>
      <x:c r="F9" s="185" t="str">
        <x:v>Berhasil</x:v>
      </x:c>
      <x:c r="G9" s="180" t="str"/>
    </x:row>
    <x:row r="10">
      <x:c r="A10" s="178" t="str">
        <x:v>Bank Soal</x:v>
      </x:c>
      <x:c r="B10" s="185" t="str">
        <x:v>Admin</x:v>
      </x:c>
      <x:c r="C10" s="179" t="str">
        <x:v>Admin membuka halaman bank soal</x:v>
      </x:c>
      <x:c r="D10" s="179" t="str">
        <x:v>Admin dapat melihat semua bank soal</x:v>
      </x:c>
      <x:c r="E10" s="179" t="str">
        <x:v>Semua bank soal dari admin dan guru berhasil ditampilkan</x:v>
      </x:c>
      <x:c r="F10" s="185" t="str">
        <x:v>Berhasil</x:v>
      </x:c>
      <x:c r="G10" s="180" t="str"/>
    </x:row>
    <x:row r="11">
      <x:c r="A11" s="178" t="str">
        <x:v>Bank Soal</x:v>
      </x:c>
      <x:c r="B11" s="185" t="str">
        <x:v>Guru</x:v>
      </x:c>
      <x:c r="C11" s="179" t="str">
        <x:v>Guru membuka halaman bank soal</x:v>
      </x:c>
      <x:c r="D11" s="179" t="str">
        <x:v>Guru hanya melihat bank soal miliknya sendiri</x:v>
      </x:c>
      <x:c r="E11" s="179" t="str">
        <x:v>Guru hanya dapat melihat bank soal yang dimilikinya</x:v>
      </x:c>
      <x:c r="F11" s="185" t="str">
        <x:v>Berhasil</x:v>
      </x:c>
      <x:c r="G11" s="180" t="str"/>
    </x:row>
    <x:row r="12">
      <x:c r="A12" s="178" t="str">
        <x:v>Manajemen Soal</x:v>
      </x:c>
      <x:c r="B12" s="185" t="str">
        <x:v>Guru</x:v>
      </x:c>
      <x:c r="C12" s="179" t="str">
        <x:v>Pengguna menambahkan soal baru</x:v>
      </x:c>
      <x:c r="D12" s="179" t="str">
        <x:v>Soal berhasil tersimpan</x:v>
      </x:c>
      <x:c r="E12" s="179" t="str">
        <x:v>Soal baru berhasil ditambahkan ke bank soal</x:v>
      </x:c>
      <x:c r="F12" s="185" t="str">
        <x:v>Berhasil</x:v>
      </x:c>
      <x:c r="G12" s="180" t="str"/>
    </x:row>
    <x:row r="13">
      <x:c r="A13" s="178" t="str">
        <x:v>Manajemen Soal</x:v>
      </x:c>
      <x:c r="B13" s="185" t="str">
        <x:v>Guru</x:v>
      </x:c>
      <x:c r="C13" s="179" t="str">
        <x:v>Pengguna mengubah data soal</x:v>
      </x:c>
      <x:c r="D13" s="179" t="str">
        <x:v>Data soal berhasil diperbarui</x:v>
      </x:c>
      <x:c r="E13" s="179" t="str">
        <x:v>Data soal berhasil diperbarui sesuai perubahan</x:v>
      </x:c>
      <x:c r="F13" s="185" t="str">
        <x:v>Berhasil</x:v>
      </x:c>
      <x:c r="G13" s="180" t="str"/>
    </x:row>
    <x:row r="14">
      <x:c r="A14" s="178" t="str">
        <x:v>Manajemen Soal</x:v>
      </x:c>
      <x:c r="B14" s="185" t="str">
        <x:v>Guru</x:v>
      </x:c>
      <x:c r="C14" s="179" t="str">
        <x:v>Pengguna menghapus soal</x:v>
      </x:c>
      <x:c r="D14" s="179" t="str">
        <x:v>Soal berhasil dihapus</x:v>
      </x:c>
      <x:c r="E14" s="179" t="str">
        <x:v>Soal berhasil dihapus dari daftar soal</x:v>
      </x:c>
      <x:c r="F14" s="185" t="str">
        <x:v>Berhasil</x:v>
      </x:c>
      <x:c r="G14" s="180" t="str"/>
    </x:row>
    <x:row r="15">
      <x:c r="A15" s="178" t="str">
        <x:v>Sesi Tryout</x:v>
      </x:c>
      <x:c r="B15" s="185" t="str">
        <x:v>Guru</x:v>
      </x:c>
      <x:c r="C15" s="179" t="str">
        <x:v>Pengguna membuat tryout baru</x:v>
      </x:c>
      <x:c r="D15" s="179" t="str">
        <x:v>Tryout berhasil dibuat</x:v>
      </x:c>
      <x:c r="E15" s="179" t="str">
        <x:v>Tryout baru berhasil dibuat dan tampil pada daftar tryout</x:v>
      </x:c>
      <x:c r="F15" s="185" t="str">
        <x:v>Berhasil</x:v>
      </x:c>
      <x:c r="G15" s="180" t="str"/>
    </x:row>
    <x:row r="16">
      <x:c r="A16" s="178" t="str">
        <x:v>Sesi Tryout</x:v>
      </x:c>
      <x:c r="B16" s="185" t="str">
        <x:v>Guru</x:v>
      </x:c>
      <x:c r="C16" s="179" t="str">
        <x:v>Status tryout diubah menjadi OPEN</x:v>
      </x:c>
      <x:c r="D16" s="179" t="str">
        <x:v>Tryout dapat dilihat siswa</x:v>
      </x:c>
      <x:c r="E16" s="179" t="str">
        <x:v>Status tryout berhasil diubah dan tryout tampil pada halaman siswa</x:v>
      </x:c>
      <x:c r="F16" s="185" t="str">
        <x:v>Berhasil</x:v>
      </x:c>
      <x:c r="G16" s="180" t="str">
        <x:v>Catatan tulisan tangan pada lembar uji: status juga dapat ditutup.</x:v>
      </x:c>
    </x:row>
    <x:row r="17">
      <x:c r="A17" s="178" t="str">
        <x:v>Peserta Tryout</x:v>
      </x:c>
      <x:c r="B17" s="185" t="str">
        <x:v>Siswa</x:v>
      </x:c>
      <x:c r="C17" s="179" t="str">
        <x:v>Siswa meminta bergabung ke tryout</x:v>
      </x:c>
      <x:c r="D17" s="179" t="str">
        <x:v>Status siswa menjadi menunggu persetujuan</x:v>
      </x:c>
      <x:c r="E17" s="179" t="str">
        <x:v>Permintaan bergabung berhasil dikirim dan status menjadi menunggu persetujuan</x:v>
      </x:c>
      <x:c r="F17" s="185" t="str">
        <x:v>Berhasil</x:v>
      </x:c>
      <x:c r="G17" s="180" t="str">
        <x:v>Catatan tulisan tangan pada lembar uji: permintaan bergabung juga bisa menggunakan kode.</x:v>
      </x:c>
    </x:row>
    <x:row r="18">
      <x:c r="A18" s="178" t="str">
        <x:v>Peserta Tryout</x:v>
      </x:c>
      <x:c r="B18" s="185" t="str">
        <x:v>Guru</x:v>
      </x:c>
      <x:c r="C18" s="179" t="str">
        <x:v>Guru/Admin menyetujui peserta</x:v>
      </x:c>
      <x:c r="D18" s="179" t="str">
        <x:v>Siswa menjadi peserta approved</x:v>
      </x:c>
      <x:c r="E18" s="179" t="str">
        <x:v>Status peserta berhasil berubah menjadi disetujui</x:v>
      </x:c>
      <x:c r="F18" s="185" t="str">
        <x:v>Berhasil</x:v>
      </x:c>
      <x:c r="G18" s="180" t="str"/>
    </x:row>
    <x:row r="19">
      <x:c r="A19" s="178" t="str">
        <x:v>Pengerjaan Tryout</x:v>
      </x:c>
      <x:c r="B19" s="185" t="str">
        <x:v>Siswa</x:v>
      </x:c>
      <x:c r="C19" s="179" t="str">
        <x:v>Siswa yang telah disetujui memulai tryout</x:v>
      </x:c>
      <x:c r="D19" s="179" t="str">
        <x:v>Sistem membuat sesi tryout</x:v>
      </x:c>
      <x:c r="E19" s="179" t="str">
        <x:v>Sistem berhasil membuat sesi tryout dan menampilkan soal pertama</x:v>
      </x:c>
      <x:c r="F19" s="185" t="str">
        <x:v>Berhasil</x:v>
      </x:c>
      <x:c r="G19" s="180" t="str"/>
    </x:row>
    <x:row r="20">
      <x:c r="A20" s="178" t="str">
        <x:v>Pengerjaan Tryout</x:v>
      </x:c>
      <x:c r="B20" s="185" t="str">
        <x:v>Siswa</x:v>
      </x:c>
      <x:c r="C20" s="179" t="str">
        <x:v>Siswa membuka soal tryout</x:v>
      </x:c>
      <x:c r="D20" s="179" t="str">
        <x:v>Sistem menampilkan soal</x:v>
      </x:c>
      <x:c r="E20" s="179" t="str">
        <x:v>Soal tryout berhasil ditampilkan kepada siswa</x:v>
      </x:c>
      <x:c r="F20" s="185" t="str">
        <x:v>Berhasil</x:v>
      </x:c>
      <x:c r="G20" s="180" t="str"/>
    </x:row>
    <x:row r="21">
      <x:c r="A21" s="178" t="str">
        <x:v>Pengerjaan Tryout</x:v>
      </x:c>
      <x:c r="B21" s="185" t="str">
        <x:v>Siswa</x:v>
      </x:c>
      <x:c r="C21" s="179" t="str">
        <x:v>Siswa memilih jawaban</x:v>
      </x:c>
      <x:c r="D21" s="179" t="str">
        <x:v>Jawaban tersimpan oleh sistem</x:v>
      </x:c>
      <x:c r="E21" s="179" t="str">
        <x:v>Jawaban siswa berhasil tersimpan</x:v>
      </x:c>
      <x:c r="F21" s="185" t="str">
        <x:v>Berhasil</x:v>
      </x:c>
      <x:c r="G21" s="180" t="str"/>
    </x:row>
    <x:row r="22">
      <x:c r="A22" s="178" t="str">
        <x:v>Pemilihan Soal WRS</x:v>
      </x:c>
      <x:c r="B22" s="185" t="str">
        <x:v>Sistem</x:v>
      </x:c>
      <x:c r="C22" s="179" t="str">
        <x:v>Sistem menampilkan soal berikutnya</x:v>
      </x:c>
      <x:c r="D22" s="179" t="str">
        <x:v>Soal dipilih berdasarkan bobot dan level kesulitan</x:v>
      </x:c>
      <x:c r="E22" s="179" t="str">
        <x:v>Sistem berhasil menampilkan soal berikutnya berdasarkan mekanisme Weighted Random Selection</x:v>
      </x:c>
      <x:c r="F22" s="185" t="str">
        <x:v>Berhasil</x:v>
      </x:c>
      <x:c r="G22" s="180" t="str"/>
    </x:row>
    <x:row r="23">
      <x:c r="A23" s="178" t="str">
        <x:v>Hasil Tryout</x:v>
      </x:c>
      <x:c r="B23" s="185" t="str">
        <x:v>Siswa</x:v>
      </x:c>
      <x:c r="C23" s="179" t="str">
        <x:v>Siswa menyelesaikan semua soal</x:v>
      </x:c>
      <x:c r="D23" s="179" t="str">
        <x:v>Sistem menampilkan hasil tryout</x:v>
      </x:c>
      <x:c r="E23" s="179" t="str">
        <x:v>Sistem berhasil menampilkan nilai, jumlah benar, dan jumlah salah</x:v>
      </x:c>
      <x:c r="F23" s="185" t="str">
        <x:v>Berhasil</x:v>
      </x:c>
      <x:c r="G23" s="180" t="str"/>
    </x:row>
    <x:row r="24">
      <x:c r="A24" s="178" t="str">
        <x:v>Riwayat Tryout</x:v>
      </x:c>
      <x:c r="B24" s="185" t="str">
        <x:v>Siswa</x:v>
      </x:c>
      <x:c r="C24" s="179" t="str">
        <x:v>Siswa membuka riwayat tryout</x:v>
      </x:c>
      <x:c r="D24" s="179" t="str">
        <x:v>Riwayat pengerjaan tampil</x:v>
      </x:c>
      <x:c r="E24" s="179" t="str">
        <x:v>Riwayat pengerjaan tryout siswa berhasil ditampilkan</x:v>
      </x:c>
      <x:c r="F24" s="185" t="str">
        <x:v>Berhasil</x:v>
      </x:c>
      <x:c r="G24" s="180" t="str"/>
    </x:row>
    <x:row r="25">
      <x:c r="A25" s="181" t="str">
        <x:v>Rekap Hasil</x:v>
      </x:c>
      <x:c r="B25" s="186" t="str">
        <x:v>Guru</x:v>
      </x:c>
      <x:c r="C25" s="182" t="str">
        <x:v>Guru membuka halaman hasil siswa</x:v>
      </x:c>
      <x:c r="D25" s="182" t="str">
        <x:v>Rekap hasil siswa tampil</x:v>
      </x:c>
      <x:c r="E25" s="182" t="str">
        <x:v>Rekap hasil siswa pada tryout milik guru berhasil ditampilkan</x:v>
      </x:c>
      <x:c r="F25" s="186" t="str">
        <x:v>Berhasil</x:v>
      </x:c>
      <x:c r="G25" s="183" t="str"/>
    </x:row>
  </x:sheetData>
  <x:mergeCells>
    <x:mergeCell ref="A1:G1"/>
    <x:mergeCell ref="A2:G2"/>
  </x:mergeCells>
  <x:conditionalFormatting sqref="F5:F25">
    <x:cfRule type="expression" dxfId="2" priority="1">
      <x:formula>F5="Berhasil"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34" hidden="0" customWidth="1"/>
    <x:col min="4" max="4" width="16" hidden="0" customWidth="1"/>
    <x:col min="5" max="5" width="28" hidden="0" customWidth="1"/>
    <x:col min="6" max="6" width="50" hidden="0" customWidth="1"/>
    <x:col min="7" max="7" width="50" hidden="0" customWidth="1"/>
    <x:col min="8" max="8" width="22" hidden="0" customWidth="1"/>
  </x:cols>
  <x:sheetData>
    <x:row r="1" ht="28" customHeight="1">
      <x:c r="A1" s="138" t="str">
        <x:v>RINGKASAN KESELURUHAN HASIL UJI COBA</x:v>
      </x:c>
      <x:c r="B1" s="138"/>
      <x:c r="C1" s="138"/>
      <x:c r="D1" s="138"/>
      <x:c r="E1" s="138"/>
      <x:c r="F1" s="138"/>
      <x:c r="G1" s="138"/>
      <x:c r="H1" s="138"/>
    </x:row>
    <x:row r="2" ht="34" customHeight="1">
      <x:c r="A2" s="142" t="str">
        <x:v>Ringkasan berkesinambungan dari absensi, hasil tryout, kuesioner, dan pengujian black box. Angka yang berbeda antar sumber tetap dipertahankan agar jejak data penelitian tidak hilang.</x:v>
      </x:c>
      <x:c r="B2" s="142"/>
      <x:c r="C2" s="142"/>
      <x:c r="D2" s="142"/>
      <x:c r="E2" s="142"/>
      <x:c r="F2" s="142"/>
      <x:c r="G2" s="142"/>
      <x:c r="H2" s="142"/>
    </x:row>
    <x:row r="4" ht="38" customHeight="1">
      <x:c r="A4" s="154" t="str">
        <x:v>No</x:v>
      </x:c>
      <x:c r="B4" s="155" t="str">
        <x:v>Komponen</x:v>
      </x:c>
      <x:c r="C4" s="155" t="str">
        <x:v>Indikator</x:v>
      </x:c>
      <x:c r="D4" s="155" t="str">
        <x:v>Hasil</x:v>
      </x:c>
      <x:c r="E4" s="155" t="str">
        <x:v>Sumber</x:v>
      </x:c>
      <x:c r="F4" s="155" t="str">
        <x:v>Interpretasi</x:v>
      </x:c>
      <x:c r="G4" s="155" t="str">
        <x:v>Catatan</x:v>
      </x:c>
      <x:c r="H4" s="156" t="str">
        <x:v>Status Data</x:v>
      </x:c>
    </x:row>
    <x:row r="5">
      <x:c r="A5" s="175" t="n">
        <x:v>1</x:v>
      </x:c>
      <x:c r="B5" s="176" t="str">
        <x:v>Absensi</x:v>
      </x:c>
      <x:c r="C5" s="176" t="str">
        <x:v>Nama peserta yang terbaca hadir</x:v>
      </x:c>
      <x:c r="D5" s="176" t="n">
        <x:v>34</x:v>
      </x:c>
      <x:c r="E5" s="176" t="str">
        <x:v>Daftar hadir</x:v>
      </x:c>
      <x:c r="F5" s="176" t="str">
        <x:v>Terdapat 34 nama dengan tanda tangan yang terbaca pada dua lembar absensi.</x:v>
      </x:c>
      <x:c r="G5" s="176" t="str">
        <x:v>Nomor 35–36 pada lembar kedua kosong.</x:v>
      </x:c>
      <x:c r="H5" s="177" t="str">
        <x:v>Terbaca dari dokumen</x:v>
      </x:c>
    </x:row>
    <x:row r="6">
      <x:c r="A6" s="178" t="n">
        <x:v>2</x:v>
      </x:c>
      <x:c r="B6" s="179" t="str">
        <x:v>Tryout</x:v>
      </x:c>
      <x:c r="C6" s="179" t="str">
        <x:v>Sesi Percobaan #1</x:v>
      </x:c>
      <x:c r="D6" s="179" t="n">
        <x:v>35</x:v>
      </x:c>
      <x:c r="E6" s="179" t="str">
        <x:v>Dashboard Hasil Tryout</x:v>
      </x:c>
      <x:c r="F6" s="179" t="str">
        <x:v>Sebanyak 35 sesi selesai pada percobaan pertama.</x:v>
      </x:c>
      <x:c r="G6" s="179" t="str"/>
      <x:c r="H6" s="180" t="str">
        <x:v>Sistem</x:v>
      </x:c>
    </x:row>
    <x:row r="7">
      <x:c r="A7" s="178" t="n">
        <x:v>3</x:v>
      </x:c>
      <x:c r="B7" s="179" t="str">
        <x:v>Tryout</x:v>
      </x:c>
      <x:c r="C7" s="179" t="str">
        <x:v>Rata-rata nilai Percobaan #1</x:v>
      </x:c>
      <x:c r="D7" s="188" t="n">
        <x:f>AVERAGE('Percobaan 1'!C5:C39)</x:f>
        <x:v>80.71428571428571</x:v>
      </x:c>
      <x:c r="E7" s="179" t="str">
        <x:v>Dashboard Hasil Tryout</x:v>
      </x:c>
      <x:c r="F7" s="179" t="str">
        <x:v>Nilai rata-rata aktual sekitar 80,71 dan dibulatkan sistem menjadi 81.</x:v>
      </x:c>
      <x:c r="G7" s="179" t="str"/>
      <x:c r="H7" s="180" t="str">
        <x:v>Sistem</x:v>
      </x:c>
    </x:row>
    <x:row r="8">
      <x:c r="A8" s="178" t="n">
        <x:v>4</x:v>
      </x:c>
      <x:c r="B8" s="179" t="str">
        <x:v>Tryout</x:v>
      </x:c>
      <x:c r="C8" s="179" t="str">
        <x:v>Sesi Percobaan #2</x:v>
      </x:c>
      <x:c r="D8" s="188" t="n">
        <x:v>32</x:v>
      </x:c>
      <x:c r="E8" s="179" t="str">
        <x:v>Dashboard Hasil Tryout</x:v>
      </x:c>
      <x:c r="F8" s="179" t="str">
        <x:v>Sebanyak 32 sesi selesai pada percobaan kedua.</x:v>
      </x:c>
      <x:c r="G8" s="179" t="str"/>
      <x:c r="H8" s="180" t="str">
        <x:v>Sistem</x:v>
      </x:c>
    </x:row>
    <x:row r="9">
      <x:c r="A9" s="178" t="n">
        <x:v>5</x:v>
      </x:c>
      <x:c r="B9" s="179" t="str">
        <x:v>Tryout</x:v>
      </x:c>
      <x:c r="C9" s="179" t="str">
        <x:v>Rata-rata nilai Percobaan #2</x:v>
      </x:c>
      <x:c r="D9" s="188" t="n">
        <x:f>AVERAGE('Percobaan 2'!C5:C36)</x:f>
        <x:v>83.25</x:v>
      </x:c>
      <x:c r="E9" s="179" t="str">
        <x:v>Dashboard Hasil Tryout</x:v>
      </x:c>
      <x:c r="F9" s="179" t="str">
        <x:v>Nilai rata-rata aktual sekitar 83,25 dan dibulatkan sistem menjadi 83.</x:v>
      </x:c>
      <x:c r="G9" s="179" t="str"/>
      <x:c r="H9" s="180" t="str">
        <x:v>Sistem</x:v>
      </x:c>
    </x:row>
    <x:row r="10">
      <x:c r="A10" s="178" t="n">
        <x:v>6</x:v>
      </x:c>
      <x:c r="B10" s="179" t="str">
        <x:v>Tryout</x:v>
      </x:c>
      <x:c r="C10" s="179" t="str">
        <x:v>Total sesi selesai</x:v>
      </x:c>
      <x:c r="D10" s="188" t="n">
        <x:v>67</x:v>
      </x:c>
      <x:c r="E10" s="179" t="str">
        <x:v>Dashboard Hasil Tryout</x:v>
      </x:c>
      <x:c r="F10" s="179" t="str">
        <x:v>Total 67 sesi merupakan gabungan 35 sesi percobaan pertama dan 32 sesi percobaan kedua.</x:v>
      </x:c>
      <x:c r="G10" s="179" t="str"/>
      <x:c r="H10" s="180" t="str">
        <x:v>Sistem</x:v>
      </x:c>
    </x:row>
    <x:row r="11">
      <x:c r="A11" s="178" t="n">
        <x:v>7</x:v>
      </x:c>
      <x:c r="B11" s="179" t="str">
        <x:v>Tryout</x:v>
      </x:c>
      <x:c r="C11" s="179" t="str">
        <x:v>Perubahan rata-rata nilai</x:v>
      </x:c>
      <x:c r="D11" s="188" t="n">
        <x:f>D9-D7</x:f>
        <x:v>2.535714285714292</x:v>
      </x:c>
      <x:c r="E11" s="179" t="str">
        <x:v>Dashboard Hasil Tryout</x:v>
      </x:c>
      <x:c r="F11" s="179" t="str">
        <x:v>Rata-rata percobaan kedua lebih tinggi sekitar 2,54 poin dari percobaan pertama.</x:v>
      </x:c>
      <x:c r="G11" s="179" t="str">
        <x:v>Dashboard menampilkan tren dibulatkan +2 poin (81 menjadi 83).</x:v>
      </x:c>
      <x:c r="H11" s="180" t="str">
        <x:v>Perhitungan</x:v>
      </x:c>
    </x:row>
    <x:row r="12">
      <x:c r="A12" s="178" t="n">
        <x:v>8</x:v>
      </x:c>
      <x:c r="B12" s="179" t="str">
        <x:v>Kuesioner</x:v>
      </x:c>
      <x:c r="C12" s="179" t="str">
        <x:v>Total respons</x:v>
      </x:c>
      <x:c r="D12" s="179" t="n">
        <x:v>36</x:v>
      </x:c>
      <x:c r="E12" s="179" t="str">
        <x:v>Google Sheets</x:v>
      </x:c>
      <x:c r="F12" s="179" t="str">
        <x:v>Terdapat 36 baris respons kuesioner.</x:v>
      </x:c>
      <x:c r="G12" s="179" t="str"/>
      <x:c r="H12" s="180" t="str">
        <x:v>Terbaca dari spreadsheet</x:v>
      </x:c>
    </x:row>
    <x:row r="13">
      <x:c r="A13" s="178" t="n">
        <x:v>9</x:v>
      </x:c>
      <x:c r="B13" s="179" t="str">
        <x:v>Kuesioner</x:v>
      </x:c>
      <x:c r="C13" s="179" t="str">
        <x:v>Nama unik</x:v>
      </x:c>
      <x:c r="D13" s="179" t="n">
        <x:v>34</x:v>
      </x:c>
      <x:c r="E13" s="179" t="str">
        <x:v>Google Sheets</x:v>
      </x:c>
      <x:c r="F13" s="179" t="str">
        <x:v>Terdapat 34 nama unik karena dua siswa mengisi dua kali.</x:v>
      </x:c>
      <x:c r="G13" s="179" t="str">
        <x:v>Chiquita Aurelia Wiral dan Ibtisam Uzma Khumaira masing-masing memiliki dua respons.</x:v>
      </x:c>
      <x:c r="H13" s="180" t="str">
        <x:v>Direkonsiliasi</x:v>
      </x:c>
    </x:row>
    <x:row r="14">
      <x:c r="A14" s="178" t="n">
        <x:v>10</x:v>
      </x:c>
      <x:c r="B14" s="179" t="str">
        <x:v>Kuesioner</x:v>
      </x:c>
      <x:c r="C14" s="179" t="str">
        <x:v>Rata-rata skor respons unik/terakhir</x:v>
      </x:c>
      <x:c r="D14" s="188" t="n">
        <x:v>4.587</x:v>
      </x:c>
      <x:c r="E14" s="179" t="str">
        <x:v>Google Sheets</x:v>
      </x:c>
      <x:c r="F14" s="179" t="str">
        <x:v>Rata-rata sekitar 4,59 dari skala 5 setelah memakai respons terakhir untuk nama yang duplikat.</x:v>
      </x:c>
      <x:c r="G14" s="179" t="str">
        <x:v>Setara sekitar 91,74%.</x:v>
      </x:c>
      <x:c r="H14" s="180" t="str">
        <x:v>Direkonsiliasi</x:v>
      </x:c>
    </x:row>
    <x:row r="15">
      <x:c r="A15" s="178" t="n">
        <x:v>11</x:v>
      </x:c>
      <x:c r="B15" s="179" t="str">
        <x:v>Black Box</x:v>
      </x:c>
      <x:c r="C15" s="179" t="str">
        <x:v>Jumlah skenario</x:v>
      </x:c>
      <x:c r="D15" s="179" t="n">
        <x:v>21</x:v>
      </x:c>
      <x:c r="E15" s="179" t="str">
        <x:v>Lembar Pengujian Black Box</x:v>
      </x:c>
      <x:c r="F15" s="179" t="str">
        <x:v>Pengujian mencakup login, manajemen akun, bank soal, manajemen soal, tryout, peserta, pengerjaan, WRS, hasil dan rekap.</x:v>
      </x:c>
      <x:c r="G15" s="179" t="str"/>
      <x:c r="H15" s="180" t="str">
        <x:v>Dokumen</x:v>
      </x:c>
    </x:row>
    <x:row r="16">
      <x:c r="A16" s="178" t="n">
        <x:v>12</x:v>
      </x:c>
      <x:c r="B16" s="179" t="str">
        <x:v>Black Box</x:v>
      </x:c>
      <x:c r="C16" s="179" t="str">
        <x:v>Skenario berhasil</x:v>
      </x:c>
      <x:c r="D16" s="179" t="n">
        <x:v>21</x:v>
      </x:c>
      <x:c r="E16" s="179" t="str">
        <x:v>Lembar Pengujian Black Box</x:v>
      </x:c>
      <x:c r="F16" s="179" t="str">
        <x:v>Seluruh skenario pada lembar pengujian ditandai berhasil.</x:v>
      </x:c>
      <x:c r="G16" s="179" t="str"/>
      <x:c r="H16" s="180" t="str">
        <x:v>Dokumen</x:v>
      </x:c>
    </x:row>
    <x:row r="17">
      <x:c r="A17" s="181" t="n">
        <x:v>13</x:v>
      </x:c>
      <x:c r="B17" s="182" t="str">
        <x:v>Black Box</x:v>
      </x:c>
      <x:c r="C17" s="182" t="str">
        <x:v>Tingkat keberhasilan</x:v>
      </x:c>
      <x:c r="D17" s="189" t="n">
        <x:f>D16/D15</x:f>
        <x:v>1</x:v>
      </x:c>
      <x:c r="E17" s="182" t="str">
        <x:v>Lembar Pengujian Black Box</x:v>
      </x:c>
      <x:c r="F17" s="182" t="str">
        <x:v>Seluruh fungsi yang dicantumkan pada lembar black box memenuhi hasil yang diharapkan.</x:v>
      </x:c>
      <x:c r="G17" s="182" t="str">
        <x:v>Ini memvalidasi fungsi yang diuji, bukan probabilitas statistik WRS.</x:v>
      </x:c>
      <x:c r="H17" s="183" t="str">
        <x:v>Perhitungan</x:v>
      </x:c>
    </x:row>
  </x:sheetData>
  <x:mergeCells>
    <x:mergeCell ref="A1:H1"/>
    <x:mergeCell ref="A2:H2"/>
  </x:mergeCells>
  <x:pageMargins left="0.7" right="0.7" top="0.75" bottom="0.75" header="0.3" footer="0.3"/>
</x:worksheet>
</file>